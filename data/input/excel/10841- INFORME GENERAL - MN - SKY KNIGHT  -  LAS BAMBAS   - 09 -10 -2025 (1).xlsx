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7815" windowHeight="5985"/>
  </bookViews>
  <sheets>
    <sheet name="Informe" sheetId="4" r:id="rId1"/>
    <sheet name="Hoja1" sheetId="7" state="hidden" r:id="rId2"/>
    <sheet name="Serv. no Conf. - Horas Muertas" sheetId="5" r:id="rId3"/>
    <sheet name="CHECKLIST LIQU PELIGROSOS" sheetId="6" state="hidden" r:id="rId4"/>
  </sheets>
  <definedNames>
    <definedName name="_xlnm._FilterDatabase" localSheetId="0" hidden="1">Informe!$IY$4:$IZ$114</definedName>
    <definedName name="_xlnm.Print_Area" localSheetId="3">'CHECKLIST LIQU PELIGROSOS'!$A$1:$F$43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5" l="1"/>
  <c r="F74" i="5"/>
  <c r="F171" i="5"/>
  <c r="F170" i="5"/>
  <c r="F169" i="5"/>
  <c r="F168" i="5"/>
  <c r="F167" i="5"/>
  <c r="F73" i="5"/>
  <c r="F72" i="5"/>
  <c r="F166" i="5"/>
  <c r="F165" i="5"/>
  <c r="F142" i="5"/>
  <c r="F141" i="5"/>
  <c r="F96" i="5"/>
  <c r="F95" i="5"/>
  <c r="F94" i="5"/>
  <c r="F93" i="5"/>
  <c r="F92" i="5"/>
  <c r="F91" i="5"/>
  <c r="F90" i="5"/>
  <c r="F89" i="5"/>
  <c r="F140" i="5"/>
  <c r="F139" i="5"/>
  <c r="F138" i="5"/>
  <c r="F56" i="5"/>
  <c r="F57" i="5"/>
  <c r="F58" i="5"/>
  <c r="F59" i="5"/>
  <c r="F60" i="5"/>
  <c r="F61" i="5"/>
  <c r="F62" i="5"/>
  <c r="F63" i="5"/>
  <c r="F64" i="5"/>
  <c r="F65" i="5"/>
  <c r="F66" i="5"/>
  <c r="F111" i="5" l="1"/>
  <c r="F112" i="5" l="1"/>
  <c r="F24" i="5" l="1"/>
  <c r="H14" i="4"/>
  <c r="F114" i="5" l="1"/>
  <c r="F113" i="5"/>
  <c r="F78" i="5"/>
  <c r="F77" i="5"/>
  <c r="F76" i="5"/>
  <c r="F79" i="5"/>
  <c r="F80" i="5"/>
  <c r="F81" i="5"/>
  <c r="F82" i="5"/>
  <c r="F83" i="5"/>
  <c r="F50" i="5"/>
  <c r="F51" i="5"/>
  <c r="F52" i="5"/>
  <c r="F53" i="5"/>
  <c r="F143" i="5"/>
  <c r="F25" i="5" l="1"/>
  <c r="F26" i="5"/>
  <c r="F27" i="5"/>
  <c r="L67" i="4" l="1"/>
  <c r="F116" i="5" l="1"/>
  <c r="F115" i="5"/>
  <c r="F42" i="5"/>
  <c r="F43" i="5"/>
  <c r="F44" i="5"/>
  <c r="F45" i="5"/>
  <c r="F46" i="5"/>
  <c r="F47" i="5"/>
  <c r="F48" i="5"/>
  <c r="F49" i="5"/>
  <c r="F54" i="5"/>
  <c r="F55" i="5"/>
  <c r="F41" i="5"/>
  <c r="F18" i="5" l="1"/>
  <c r="F19" i="5"/>
  <c r="F20" i="5"/>
  <c r="F21" i="5"/>
  <c r="F22" i="5"/>
  <c r="F23" i="5"/>
  <c r="D67" i="4" l="1"/>
  <c r="F67" i="4"/>
  <c r="H67" i="4"/>
  <c r="J67" i="4"/>
  <c r="F174" i="5" l="1"/>
  <c r="F173" i="5"/>
  <c r="F172" i="5"/>
  <c r="R14" i="4" l="1"/>
  <c r="R13" i="4"/>
  <c r="R12" i="4"/>
  <c r="R11" i="4"/>
  <c r="R10" i="4"/>
  <c r="R9" i="4"/>
  <c r="R8" i="4"/>
  <c r="R7" i="4"/>
  <c r="AC5" i="7"/>
  <c r="AB5" i="7"/>
  <c r="AA5" i="7"/>
  <c r="Z5" i="7"/>
  <c r="Y5" i="7"/>
  <c r="X5" i="7"/>
  <c r="W5" i="7"/>
  <c r="V5" i="7"/>
  <c r="U5" i="7"/>
  <c r="T5" i="7"/>
  <c r="S5" i="7"/>
  <c r="R5" i="7"/>
  <c r="Q5" i="7"/>
  <c r="C5" i="7"/>
  <c r="B5" i="7"/>
  <c r="A5" i="7"/>
  <c r="R16" i="4" l="1"/>
  <c r="D129" i="4"/>
  <c r="D130" i="4"/>
  <c r="D131" i="4"/>
  <c r="D132" i="4"/>
  <c r="F34" i="5" l="1"/>
  <c r="F33" i="5"/>
  <c r="F32" i="5"/>
  <c r="F31" i="5"/>
  <c r="F30" i="5"/>
  <c r="F29" i="5"/>
  <c r="F28" i="5"/>
  <c r="F35" i="5" l="1"/>
  <c r="H17" i="4"/>
  <c r="K17" i="4" s="1"/>
  <c r="K14" i="4"/>
  <c r="K13" i="4"/>
  <c r="F40" i="5" l="1"/>
  <c r="B162" i="4" l="1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61" i="4"/>
  <c r="B160" i="4"/>
  <c r="AG113" i="4" l="1"/>
  <c r="AG114" i="4"/>
  <c r="AG115" i="4"/>
  <c r="AG116" i="4"/>
  <c r="AF113" i="4"/>
  <c r="AF114" i="4"/>
  <c r="AF115" i="4"/>
  <c r="AF116" i="4"/>
  <c r="AD127" i="4"/>
  <c r="AB127" i="4"/>
  <c r="Z127" i="4"/>
  <c r="X127" i="4"/>
  <c r="V127" i="4"/>
  <c r="T127" i="4"/>
  <c r="R127" i="4"/>
  <c r="P127" i="4"/>
  <c r="N127" i="4"/>
  <c r="L127" i="4"/>
  <c r="J127" i="4"/>
  <c r="H127" i="4"/>
  <c r="F127" i="4"/>
  <c r="D127" i="4"/>
  <c r="AD126" i="4"/>
  <c r="AB126" i="4"/>
  <c r="Z126" i="4"/>
  <c r="X126" i="4"/>
  <c r="V126" i="4"/>
  <c r="T126" i="4"/>
  <c r="R126" i="4"/>
  <c r="P126" i="4"/>
  <c r="N126" i="4"/>
  <c r="L126" i="4"/>
  <c r="J126" i="4"/>
  <c r="H126" i="4"/>
  <c r="F126" i="4"/>
  <c r="D126" i="4"/>
  <c r="AD107" i="4"/>
  <c r="AB107" i="4"/>
  <c r="Z107" i="4"/>
  <c r="X107" i="4"/>
  <c r="V107" i="4"/>
  <c r="T107" i="4"/>
  <c r="R107" i="4"/>
  <c r="P107" i="4"/>
  <c r="N107" i="4"/>
  <c r="L107" i="4"/>
  <c r="J107" i="4"/>
  <c r="H107" i="4"/>
  <c r="F107" i="4"/>
  <c r="D107" i="4"/>
  <c r="AD106" i="4"/>
  <c r="AB106" i="4"/>
  <c r="Z106" i="4"/>
  <c r="X106" i="4"/>
  <c r="V106" i="4"/>
  <c r="T106" i="4"/>
  <c r="R106" i="4"/>
  <c r="P106" i="4"/>
  <c r="N106" i="4"/>
  <c r="L106" i="4"/>
  <c r="J106" i="4"/>
  <c r="H106" i="4"/>
  <c r="F106" i="4"/>
  <c r="D106" i="4"/>
  <c r="AD87" i="4"/>
  <c r="AB87" i="4"/>
  <c r="Z87" i="4"/>
  <c r="X87" i="4"/>
  <c r="V87" i="4"/>
  <c r="T87" i="4"/>
  <c r="R87" i="4"/>
  <c r="P87" i="4"/>
  <c r="N87" i="4"/>
  <c r="L87" i="4"/>
  <c r="J87" i="4"/>
  <c r="H87" i="4"/>
  <c r="F87" i="4"/>
  <c r="D87" i="4"/>
  <c r="AD86" i="4"/>
  <c r="AB86" i="4"/>
  <c r="Z86" i="4"/>
  <c r="X86" i="4"/>
  <c r="V86" i="4"/>
  <c r="T86" i="4"/>
  <c r="R86" i="4"/>
  <c r="P86" i="4"/>
  <c r="N86" i="4"/>
  <c r="L86" i="4"/>
  <c r="J86" i="4"/>
  <c r="H86" i="4"/>
  <c r="F86" i="4"/>
  <c r="D86" i="4"/>
  <c r="Z67" i="4"/>
  <c r="X67" i="4"/>
  <c r="V67" i="4"/>
  <c r="T67" i="4"/>
  <c r="R67" i="4"/>
  <c r="AD66" i="4"/>
  <c r="Z66" i="4"/>
  <c r="X66" i="4"/>
  <c r="V66" i="4"/>
  <c r="T66" i="4"/>
  <c r="R66" i="4"/>
  <c r="P67" i="4"/>
  <c r="P66" i="4"/>
  <c r="N67" i="4"/>
  <c r="N66" i="4"/>
  <c r="L66" i="4"/>
  <c r="J66" i="4"/>
  <c r="H66" i="4"/>
  <c r="F66" i="4"/>
  <c r="D66" i="4"/>
  <c r="I6" i="4"/>
  <c r="I7" i="4"/>
  <c r="I4" i="4"/>
  <c r="AE131" i="4"/>
  <c r="AE132" i="4"/>
  <c r="AE133" i="4"/>
  <c r="AE134" i="4"/>
  <c r="AE135" i="4"/>
  <c r="AE136" i="4"/>
  <c r="AE137" i="4"/>
  <c r="AE138" i="4"/>
  <c r="AE139" i="4"/>
  <c r="AE140" i="4"/>
  <c r="AE141" i="4"/>
  <c r="AD131" i="4"/>
  <c r="AD132" i="4"/>
  <c r="AD133" i="4"/>
  <c r="AD134" i="4"/>
  <c r="AD135" i="4"/>
  <c r="AD136" i="4"/>
  <c r="AD137" i="4"/>
  <c r="AD138" i="4"/>
  <c r="AD139" i="4"/>
  <c r="AD140" i="4"/>
  <c r="AD141" i="4"/>
  <c r="AC131" i="4"/>
  <c r="AC132" i="4"/>
  <c r="AC133" i="4"/>
  <c r="AC134" i="4"/>
  <c r="AC135" i="4"/>
  <c r="AC136" i="4"/>
  <c r="AC137" i="4"/>
  <c r="AC138" i="4"/>
  <c r="AC139" i="4"/>
  <c r="AC140" i="4"/>
  <c r="AC141" i="4"/>
  <c r="AB131" i="4"/>
  <c r="AB132" i="4"/>
  <c r="AB133" i="4"/>
  <c r="AB134" i="4"/>
  <c r="AB135" i="4"/>
  <c r="AB136" i="4"/>
  <c r="AB137" i="4"/>
  <c r="AB138" i="4"/>
  <c r="AB139" i="4"/>
  <c r="AB140" i="4"/>
  <c r="AB141" i="4"/>
  <c r="AA131" i="4"/>
  <c r="AA132" i="4"/>
  <c r="AA133" i="4"/>
  <c r="AA134" i="4"/>
  <c r="AA135" i="4"/>
  <c r="AA136" i="4"/>
  <c r="AA137" i="4"/>
  <c r="AA138" i="4"/>
  <c r="AA139" i="4"/>
  <c r="AA140" i="4"/>
  <c r="AA141" i="4"/>
  <c r="Z131" i="4"/>
  <c r="Z132" i="4"/>
  <c r="Z133" i="4"/>
  <c r="Z134" i="4"/>
  <c r="Z135" i="4"/>
  <c r="Z136" i="4"/>
  <c r="Z137" i="4"/>
  <c r="Z138" i="4"/>
  <c r="Z139" i="4"/>
  <c r="Z140" i="4"/>
  <c r="Z141" i="4"/>
  <c r="Y131" i="4"/>
  <c r="Y132" i="4"/>
  <c r="Y133" i="4"/>
  <c r="Y134" i="4"/>
  <c r="Y135" i="4"/>
  <c r="Y136" i="4"/>
  <c r="Y137" i="4"/>
  <c r="Y138" i="4"/>
  <c r="Y139" i="4"/>
  <c r="Y140" i="4"/>
  <c r="Y141" i="4"/>
  <c r="X131" i="4"/>
  <c r="X132" i="4"/>
  <c r="X133" i="4"/>
  <c r="X134" i="4"/>
  <c r="X135" i="4"/>
  <c r="X136" i="4"/>
  <c r="X137" i="4"/>
  <c r="X138" i="4"/>
  <c r="X139" i="4"/>
  <c r="X140" i="4"/>
  <c r="X141" i="4"/>
  <c r="W131" i="4"/>
  <c r="W132" i="4"/>
  <c r="W133" i="4"/>
  <c r="W134" i="4"/>
  <c r="W135" i="4"/>
  <c r="W136" i="4"/>
  <c r="W137" i="4"/>
  <c r="W138" i="4"/>
  <c r="W139" i="4"/>
  <c r="W140" i="4"/>
  <c r="W141" i="4"/>
  <c r="V131" i="4"/>
  <c r="V132" i="4"/>
  <c r="V133" i="4"/>
  <c r="V134" i="4"/>
  <c r="V135" i="4"/>
  <c r="V136" i="4"/>
  <c r="V137" i="4"/>
  <c r="V138" i="4"/>
  <c r="V139" i="4"/>
  <c r="V140" i="4"/>
  <c r="V141" i="4"/>
  <c r="U131" i="4"/>
  <c r="U132" i="4"/>
  <c r="U133" i="4"/>
  <c r="U134" i="4"/>
  <c r="U135" i="4"/>
  <c r="U136" i="4"/>
  <c r="U137" i="4"/>
  <c r="U138" i="4"/>
  <c r="U139" i="4"/>
  <c r="U140" i="4"/>
  <c r="U141" i="4"/>
  <c r="T131" i="4"/>
  <c r="T132" i="4"/>
  <c r="T133" i="4"/>
  <c r="T134" i="4"/>
  <c r="T135" i="4"/>
  <c r="T136" i="4"/>
  <c r="T137" i="4"/>
  <c r="T138" i="4"/>
  <c r="T139" i="4"/>
  <c r="T140" i="4"/>
  <c r="T141" i="4"/>
  <c r="S131" i="4"/>
  <c r="S132" i="4"/>
  <c r="S133" i="4"/>
  <c r="S134" i="4"/>
  <c r="S135" i="4"/>
  <c r="S136" i="4"/>
  <c r="S137" i="4"/>
  <c r="S138" i="4"/>
  <c r="S139" i="4"/>
  <c r="S140" i="4"/>
  <c r="S141" i="4"/>
  <c r="R131" i="4"/>
  <c r="R132" i="4"/>
  <c r="R133" i="4"/>
  <c r="R134" i="4"/>
  <c r="R135" i="4"/>
  <c r="R136" i="4"/>
  <c r="R137" i="4"/>
  <c r="R138" i="4"/>
  <c r="R139" i="4"/>
  <c r="R140" i="4"/>
  <c r="R141" i="4"/>
  <c r="Q131" i="4"/>
  <c r="Q132" i="4"/>
  <c r="Q133" i="4"/>
  <c r="Q134" i="4"/>
  <c r="Q135" i="4"/>
  <c r="Q136" i="4"/>
  <c r="Q137" i="4"/>
  <c r="Q138" i="4"/>
  <c r="Q139" i="4"/>
  <c r="Q140" i="4"/>
  <c r="Q141" i="4"/>
  <c r="P131" i="4"/>
  <c r="P132" i="4"/>
  <c r="P133" i="4"/>
  <c r="P134" i="4"/>
  <c r="P135" i="4"/>
  <c r="P136" i="4"/>
  <c r="P137" i="4"/>
  <c r="P138" i="4"/>
  <c r="P139" i="4"/>
  <c r="P140" i="4"/>
  <c r="P141" i="4"/>
  <c r="O131" i="4"/>
  <c r="O132" i="4"/>
  <c r="O133" i="4"/>
  <c r="O134" i="4"/>
  <c r="O135" i="4"/>
  <c r="O136" i="4"/>
  <c r="O137" i="4"/>
  <c r="O138" i="4"/>
  <c r="O139" i="4"/>
  <c r="O140" i="4"/>
  <c r="O141" i="4"/>
  <c r="N131" i="4"/>
  <c r="N132" i="4"/>
  <c r="N133" i="4"/>
  <c r="N134" i="4"/>
  <c r="N135" i="4"/>
  <c r="N136" i="4"/>
  <c r="N137" i="4"/>
  <c r="N138" i="4"/>
  <c r="N139" i="4"/>
  <c r="N140" i="4"/>
  <c r="N141" i="4"/>
  <c r="M131" i="4"/>
  <c r="M132" i="4"/>
  <c r="M133" i="4"/>
  <c r="M134" i="4"/>
  <c r="M135" i="4"/>
  <c r="M136" i="4"/>
  <c r="M137" i="4"/>
  <c r="M138" i="4"/>
  <c r="M139" i="4"/>
  <c r="M140" i="4"/>
  <c r="M141" i="4"/>
  <c r="L131" i="4"/>
  <c r="L132" i="4"/>
  <c r="L133" i="4"/>
  <c r="L134" i="4"/>
  <c r="L135" i="4"/>
  <c r="L136" i="4"/>
  <c r="L137" i="4"/>
  <c r="L138" i="4"/>
  <c r="L139" i="4"/>
  <c r="L140" i="4"/>
  <c r="L141" i="4"/>
  <c r="K131" i="4"/>
  <c r="K132" i="4"/>
  <c r="K133" i="4"/>
  <c r="K134" i="4"/>
  <c r="K135" i="4"/>
  <c r="K136" i="4"/>
  <c r="K137" i="4"/>
  <c r="K138" i="4"/>
  <c r="K139" i="4"/>
  <c r="K140" i="4"/>
  <c r="K141" i="4"/>
  <c r="J131" i="4"/>
  <c r="J132" i="4"/>
  <c r="J133" i="4"/>
  <c r="J134" i="4"/>
  <c r="J135" i="4"/>
  <c r="J136" i="4"/>
  <c r="J137" i="4"/>
  <c r="J138" i="4"/>
  <c r="J139" i="4"/>
  <c r="J140" i="4"/>
  <c r="J141" i="4"/>
  <c r="I131" i="4"/>
  <c r="I132" i="4"/>
  <c r="I133" i="4"/>
  <c r="I134" i="4"/>
  <c r="I135" i="4"/>
  <c r="I136" i="4"/>
  <c r="I137" i="4"/>
  <c r="I138" i="4"/>
  <c r="I139" i="4"/>
  <c r="I140" i="4"/>
  <c r="I141" i="4"/>
  <c r="H131" i="4"/>
  <c r="H132" i="4"/>
  <c r="H133" i="4"/>
  <c r="H134" i="4"/>
  <c r="H135" i="4"/>
  <c r="H136" i="4"/>
  <c r="H137" i="4"/>
  <c r="H138" i="4"/>
  <c r="H139" i="4"/>
  <c r="H140" i="4"/>
  <c r="H141" i="4"/>
  <c r="G131" i="4"/>
  <c r="G132" i="4"/>
  <c r="G133" i="4"/>
  <c r="G134" i="4"/>
  <c r="G135" i="4"/>
  <c r="G136" i="4"/>
  <c r="G137" i="4"/>
  <c r="G138" i="4"/>
  <c r="G139" i="4"/>
  <c r="G140" i="4"/>
  <c r="G141" i="4"/>
  <c r="F131" i="4"/>
  <c r="F132" i="4"/>
  <c r="F133" i="4"/>
  <c r="F134" i="4"/>
  <c r="F135" i="4"/>
  <c r="F136" i="4"/>
  <c r="F137" i="4"/>
  <c r="F138" i="4"/>
  <c r="F139" i="4"/>
  <c r="F140" i="4"/>
  <c r="F141" i="4"/>
  <c r="E131" i="4"/>
  <c r="E132" i="4"/>
  <c r="E133" i="4"/>
  <c r="E134" i="4"/>
  <c r="E135" i="4"/>
  <c r="E136" i="4"/>
  <c r="E137" i="4"/>
  <c r="E138" i="4"/>
  <c r="E139" i="4"/>
  <c r="E140" i="4"/>
  <c r="E141" i="4"/>
  <c r="D133" i="4"/>
  <c r="D134" i="4"/>
  <c r="D135" i="4"/>
  <c r="D136" i="4"/>
  <c r="D137" i="4"/>
  <c r="D138" i="4"/>
  <c r="D139" i="4"/>
  <c r="D140" i="4"/>
  <c r="D141" i="4"/>
  <c r="AE91" i="4"/>
  <c r="AE92" i="4"/>
  <c r="AE93" i="4"/>
  <c r="AE94" i="4"/>
  <c r="AE95" i="4"/>
  <c r="AE96" i="4"/>
  <c r="AE97" i="4"/>
  <c r="AE98" i="4"/>
  <c r="AE99" i="4"/>
  <c r="AE100" i="4"/>
  <c r="AE101" i="4"/>
  <c r="AD91" i="4"/>
  <c r="AD92" i="4"/>
  <c r="AD93" i="4"/>
  <c r="AD94" i="4"/>
  <c r="AD95" i="4"/>
  <c r="AD96" i="4"/>
  <c r="AD97" i="4"/>
  <c r="AD98" i="4"/>
  <c r="AD99" i="4"/>
  <c r="AD100" i="4"/>
  <c r="AD101" i="4"/>
  <c r="AC91" i="4"/>
  <c r="AC92" i="4"/>
  <c r="AC93" i="4"/>
  <c r="AC94" i="4"/>
  <c r="AC95" i="4"/>
  <c r="AC96" i="4"/>
  <c r="AC97" i="4"/>
  <c r="AC98" i="4"/>
  <c r="AC99" i="4"/>
  <c r="AC100" i="4"/>
  <c r="AC101" i="4"/>
  <c r="AB91" i="4"/>
  <c r="AB92" i="4"/>
  <c r="AB93" i="4"/>
  <c r="AB94" i="4"/>
  <c r="AB95" i="4"/>
  <c r="AB96" i="4"/>
  <c r="AB97" i="4"/>
  <c r="AB98" i="4"/>
  <c r="AB99" i="4"/>
  <c r="AB100" i="4"/>
  <c r="AB101" i="4"/>
  <c r="AA91" i="4"/>
  <c r="AA92" i="4"/>
  <c r="AA93" i="4"/>
  <c r="AA94" i="4"/>
  <c r="AA95" i="4"/>
  <c r="AA96" i="4"/>
  <c r="AA97" i="4"/>
  <c r="AA98" i="4"/>
  <c r="AA99" i="4"/>
  <c r="AA100" i="4"/>
  <c r="AA101" i="4"/>
  <c r="Y91" i="4"/>
  <c r="Y92" i="4"/>
  <c r="Y93" i="4"/>
  <c r="Y94" i="4"/>
  <c r="Y95" i="4"/>
  <c r="Y96" i="4"/>
  <c r="Y97" i="4"/>
  <c r="Y98" i="4"/>
  <c r="Y99" i="4"/>
  <c r="Y100" i="4"/>
  <c r="Y101" i="4"/>
  <c r="X91" i="4"/>
  <c r="X92" i="4"/>
  <c r="X93" i="4"/>
  <c r="X94" i="4"/>
  <c r="X95" i="4"/>
  <c r="X96" i="4"/>
  <c r="X97" i="4"/>
  <c r="X98" i="4"/>
  <c r="X99" i="4"/>
  <c r="X100" i="4"/>
  <c r="X101" i="4"/>
  <c r="W91" i="4"/>
  <c r="W92" i="4"/>
  <c r="W93" i="4"/>
  <c r="W94" i="4"/>
  <c r="W95" i="4"/>
  <c r="W96" i="4"/>
  <c r="W97" i="4"/>
  <c r="W98" i="4"/>
  <c r="W99" i="4"/>
  <c r="W100" i="4"/>
  <c r="W101" i="4"/>
  <c r="V91" i="4"/>
  <c r="V92" i="4"/>
  <c r="V93" i="4"/>
  <c r="V94" i="4"/>
  <c r="V95" i="4"/>
  <c r="V96" i="4"/>
  <c r="V97" i="4"/>
  <c r="V98" i="4"/>
  <c r="V99" i="4"/>
  <c r="V100" i="4"/>
  <c r="V101" i="4"/>
  <c r="U91" i="4"/>
  <c r="U92" i="4"/>
  <c r="U93" i="4"/>
  <c r="U94" i="4"/>
  <c r="U95" i="4"/>
  <c r="U96" i="4"/>
  <c r="U97" i="4"/>
  <c r="U98" i="4"/>
  <c r="U99" i="4"/>
  <c r="U100" i="4"/>
  <c r="U101" i="4"/>
  <c r="T91" i="4"/>
  <c r="T92" i="4"/>
  <c r="T93" i="4"/>
  <c r="T94" i="4"/>
  <c r="T95" i="4"/>
  <c r="T96" i="4"/>
  <c r="T97" i="4"/>
  <c r="T98" i="4"/>
  <c r="T99" i="4"/>
  <c r="T100" i="4"/>
  <c r="T101" i="4"/>
  <c r="S91" i="4"/>
  <c r="S92" i="4"/>
  <c r="S93" i="4"/>
  <c r="S94" i="4"/>
  <c r="S95" i="4"/>
  <c r="S96" i="4"/>
  <c r="S97" i="4"/>
  <c r="S98" i="4"/>
  <c r="S99" i="4"/>
  <c r="S100" i="4"/>
  <c r="S101" i="4"/>
  <c r="R91" i="4"/>
  <c r="R92" i="4"/>
  <c r="R93" i="4"/>
  <c r="R94" i="4"/>
  <c r="R95" i="4"/>
  <c r="R96" i="4"/>
  <c r="R97" i="4"/>
  <c r="R98" i="4"/>
  <c r="R99" i="4"/>
  <c r="R100" i="4"/>
  <c r="R101" i="4"/>
  <c r="Q91" i="4"/>
  <c r="Q92" i="4"/>
  <c r="Q93" i="4"/>
  <c r="Q94" i="4"/>
  <c r="Q95" i="4"/>
  <c r="Q96" i="4"/>
  <c r="Q97" i="4"/>
  <c r="Q98" i="4"/>
  <c r="Q99" i="4"/>
  <c r="Q100" i="4"/>
  <c r="Q101" i="4"/>
  <c r="P91" i="4"/>
  <c r="P92" i="4"/>
  <c r="P93" i="4"/>
  <c r="P94" i="4"/>
  <c r="P95" i="4"/>
  <c r="P96" i="4"/>
  <c r="P97" i="4"/>
  <c r="P98" i="4"/>
  <c r="P99" i="4"/>
  <c r="P100" i="4"/>
  <c r="P101" i="4"/>
  <c r="O91" i="4"/>
  <c r="O92" i="4"/>
  <c r="O93" i="4"/>
  <c r="O94" i="4"/>
  <c r="O95" i="4"/>
  <c r="O96" i="4"/>
  <c r="O97" i="4"/>
  <c r="O98" i="4"/>
  <c r="O99" i="4"/>
  <c r="O100" i="4"/>
  <c r="O101" i="4"/>
  <c r="N91" i="4"/>
  <c r="N92" i="4"/>
  <c r="N93" i="4"/>
  <c r="N94" i="4"/>
  <c r="N95" i="4"/>
  <c r="N96" i="4"/>
  <c r="N97" i="4"/>
  <c r="N98" i="4"/>
  <c r="N99" i="4"/>
  <c r="N100" i="4"/>
  <c r="N101" i="4"/>
  <c r="M91" i="4"/>
  <c r="M92" i="4"/>
  <c r="M93" i="4"/>
  <c r="M94" i="4"/>
  <c r="M95" i="4"/>
  <c r="M96" i="4"/>
  <c r="M97" i="4"/>
  <c r="M98" i="4"/>
  <c r="M99" i="4"/>
  <c r="M100" i="4"/>
  <c r="M101" i="4"/>
  <c r="L91" i="4"/>
  <c r="L92" i="4"/>
  <c r="L93" i="4"/>
  <c r="L94" i="4"/>
  <c r="L95" i="4"/>
  <c r="L96" i="4"/>
  <c r="L97" i="4"/>
  <c r="L98" i="4"/>
  <c r="L99" i="4"/>
  <c r="L100" i="4"/>
  <c r="L101" i="4"/>
  <c r="K91" i="4"/>
  <c r="K92" i="4"/>
  <c r="K93" i="4"/>
  <c r="K94" i="4"/>
  <c r="K95" i="4"/>
  <c r="K96" i="4"/>
  <c r="K97" i="4"/>
  <c r="K98" i="4"/>
  <c r="K99" i="4"/>
  <c r="K100" i="4"/>
  <c r="K101" i="4"/>
  <c r="J91" i="4"/>
  <c r="J92" i="4"/>
  <c r="J93" i="4"/>
  <c r="J94" i="4"/>
  <c r="J95" i="4"/>
  <c r="J96" i="4"/>
  <c r="J97" i="4"/>
  <c r="J98" i="4"/>
  <c r="J99" i="4"/>
  <c r="J100" i="4"/>
  <c r="J101" i="4"/>
  <c r="I91" i="4"/>
  <c r="I92" i="4"/>
  <c r="I93" i="4"/>
  <c r="I94" i="4"/>
  <c r="I95" i="4"/>
  <c r="I96" i="4"/>
  <c r="I97" i="4"/>
  <c r="I98" i="4"/>
  <c r="I99" i="4"/>
  <c r="I100" i="4"/>
  <c r="I101" i="4"/>
  <c r="H91" i="4"/>
  <c r="H92" i="4"/>
  <c r="H93" i="4"/>
  <c r="H94" i="4"/>
  <c r="H95" i="4"/>
  <c r="H96" i="4"/>
  <c r="H97" i="4"/>
  <c r="H98" i="4"/>
  <c r="H99" i="4"/>
  <c r="H100" i="4"/>
  <c r="H101" i="4"/>
  <c r="G91" i="4"/>
  <c r="G92" i="4"/>
  <c r="G93" i="4"/>
  <c r="G94" i="4"/>
  <c r="G95" i="4"/>
  <c r="G96" i="4"/>
  <c r="G97" i="4"/>
  <c r="G98" i="4"/>
  <c r="G99" i="4"/>
  <c r="G100" i="4"/>
  <c r="G101" i="4"/>
  <c r="F91" i="4"/>
  <c r="F92" i="4"/>
  <c r="F93" i="4"/>
  <c r="F94" i="4"/>
  <c r="F95" i="4"/>
  <c r="F96" i="4"/>
  <c r="F97" i="4"/>
  <c r="F98" i="4"/>
  <c r="F99" i="4"/>
  <c r="F100" i="4"/>
  <c r="F101" i="4"/>
  <c r="E91" i="4"/>
  <c r="E92" i="4"/>
  <c r="E93" i="4"/>
  <c r="E94" i="4"/>
  <c r="E95" i="4"/>
  <c r="E96" i="4"/>
  <c r="E97" i="4"/>
  <c r="E98" i="4"/>
  <c r="E99" i="4"/>
  <c r="E100" i="4"/>
  <c r="E101" i="4"/>
  <c r="D91" i="4"/>
  <c r="D92" i="4"/>
  <c r="D93" i="4"/>
  <c r="D94" i="4"/>
  <c r="D95" i="4"/>
  <c r="D96" i="4"/>
  <c r="D97" i="4"/>
  <c r="D98" i="4"/>
  <c r="D99" i="4"/>
  <c r="D100" i="4"/>
  <c r="D101" i="4"/>
  <c r="AG71" i="4"/>
  <c r="AG72" i="4"/>
  <c r="AG73" i="4"/>
  <c r="AG74" i="4"/>
  <c r="AG75" i="4"/>
  <c r="AG76" i="4"/>
  <c r="AG77" i="4"/>
  <c r="AG78" i="4"/>
  <c r="AG79" i="4"/>
  <c r="AG80" i="4"/>
  <c r="AG81" i="4"/>
  <c r="AG70" i="4"/>
  <c r="AG69" i="4"/>
  <c r="AF71" i="4"/>
  <c r="AF72" i="4"/>
  <c r="AF73" i="4"/>
  <c r="AF74" i="4"/>
  <c r="AF75" i="4"/>
  <c r="AF76" i="4"/>
  <c r="AF77" i="4"/>
  <c r="AF78" i="4"/>
  <c r="AF79" i="4"/>
  <c r="AF80" i="4"/>
  <c r="AF81" i="4"/>
  <c r="AF70" i="4"/>
  <c r="AF69" i="4"/>
  <c r="AG51" i="4"/>
  <c r="AG131" i="4" s="1"/>
  <c r="AG52" i="4"/>
  <c r="AG132" i="4" s="1"/>
  <c r="AG53" i="4"/>
  <c r="AG133" i="4" s="1"/>
  <c r="AG54" i="4"/>
  <c r="AG134" i="4" s="1"/>
  <c r="AG55" i="4"/>
  <c r="AG135" i="4" s="1"/>
  <c r="AG56" i="4"/>
  <c r="AG136" i="4" s="1"/>
  <c r="AG57" i="4"/>
  <c r="AG137" i="4" s="1"/>
  <c r="AG58" i="4"/>
  <c r="AG138" i="4" s="1"/>
  <c r="AG59" i="4"/>
  <c r="AG139" i="4" s="1"/>
  <c r="AG60" i="4"/>
  <c r="AG140" i="4" s="1"/>
  <c r="AG61" i="4"/>
  <c r="AG141" i="4" s="1"/>
  <c r="AG50" i="4"/>
  <c r="AG130" i="4" s="1"/>
  <c r="AG49" i="4"/>
  <c r="AF51" i="4"/>
  <c r="AF52" i="4"/>
  <c r="AF53" i="4"/>
  <c r="AF54" i="4"/>
  <c r="AF55" i="4"/>
  <c r="AF135" i="4" s="1"/>
  <c r="AF56" i="4"/>
  <c r="AF136" i="4" s="1"/>
  <c r="AF57" i="4"/>
  <c r="AF137" i="4" s="1"/>
  <c r="AF58" i="4"/>
  <c r="AF138" i="4" s="1"/>
  <c r="AF59" i="4"/>
  <c r="AF139" i="4" s="1"/>
  <c r="AF60" i="4"/>
  <c r="AF140" i="4" s="1"/>
  <c r="AF61" i="4"/>
  <c r="AF141" i="4" s="1"/>
  <c r="AF50" i="4"/>
  <c r="AF49" i="4"/>
  <c r="AA130" i="4"/>
  <c r="Z130" i="4"/>
  <c r="AA129" i="4"/>
  <c r="Z129" i="4"/>
  <c r="Y130" i="4"/>
  <c r="X130" i="4"/>
  <c r="Y129" i="4"/>
  <c r="X129" i="4"/>
  <c r="W130" i="4"/>
  <c r="V130" i="4"/>
  <c r="W129" i="4"/>
  <c r="V129" i="4"/>
  <c r="U130" i="4"/>
  <c r="T130" i="4"/>
  <c r="U129" i="4"/>
  <c r="T129" i="4"/>
  <c r="S130" i="4"/>
  <c r="R130" i="4"/>
  <c r="S129" i="4"/>
  <c r="R129" i="4"/>
  <c r="AA123" i="4"/>
  <c r="Z123" i="4"/>
  <c r="Y123" i="4"/>
  <c r="X123" i="4"/>
  <c r="W123" i="4"/>
  <c r="V123" i="4"/>
  <c r="U123" i="4"/>
  <c r="T123" i="4"/>
  <c r="S123" i="4"/>
  <c r="R123" i="4"/>
  <c r="Y90" i="4"/>
  <c r="X90" i="4"/>
  <c r="Y89" i="4"/>
  <c r="X89" i="4"/>
  <c r="W90" i="4"/>
  <c r="V90" i="4"/>
  <c r="W89" i="4"/>
  <c r="V89" i="4"/>
  <c r="U90" i="4"/>
  <c r="T90" i="4"/>
  <c r="U89" i="4"/>
  <c r="T89" i="4"/>
  <c r="S90" i="4"/>
  <c r="R90" i="4"/>
  <c r="S89" i="4"/>
  <c r="R89" i="4"/>
  <c r="AA83" i="4"/>
  <c r="Z83" i="4"/>
  <c r="Y83" i="4"/>
  <c r="X83" i="4"/>
  <c r="W83" i="4"/>
  <c r="V83" i="4"/>
  <c r="U83" i="4"/>
  <c r="T83" i="4"/>
  <c r="S83" i="4"/>
  <c r="R83" i="4"/>
  <c r="Z63" i="4"/>
  <c r="Z143" i="4" s="1"/>
  <c r="X63" i="4"/>
  <c r="X143" i="4" s="1"/>
  <c r="V63" i="4"/>
  <c r="V143" i="4" s="1"/>
  <c r="T63" i="4"/>
  <c r="T143" i="4" s="1"/>
  <c r="Y63" i="4"/>
  <c r="Y143" i="4" s="1"/>
  <c r="W63" i="4"/>
  <c r="W143" i="4" s="1"/>
  <c r="U63" i="4"/>
  <c r="U143" i="4" s="1"/>
  <c r="S63" i="4"/>
  <c r="S143" i="4" s="1"/>
  <c r="AG119" i="4"/>
  <c r="AG120" i="4"/>
  <c r="AF119" i="4"/>
  <c r="AF120" i="4"/>
  <c r="P90" i="4"/>
  <c r="F126" i="5"/>
  <c r="F127" i="5"/>
  <c r="F128" i="5"/>
  <c r="F129" i="5"/>
  <c r="F119" i="5"/>
  <c r="F120" i="5"/>
  <c r="F121" i="5"/>
  <c r="F122" i="5"/>
  <c r="F123" i="5"/>
  <c r="F153" i="5"/>
  <c r="F154" i="5"/>
  <c r="F155" i="5"/>
  <c r="F156" i="5"/>
  <c r="F117" i="5"/>
  <c r="F118" i="5"/>
  <c r="F145" i="5"/>
  <c r="F146" i="5"/>
  <c r="F147" i="5"/>
  <c r="F148" i="5"/>
  <c r="F144" i="5"/>
  <c r="F149" i="5"/>
  <c r="F97" i="5"/>
  <c r="F98" i="5"/>
  <c r="F99" i="5"/>
  <c r="F100" i="5"/>
  <c r="F101" i="5"/>
  <c r="F102" i="5"/>
  <c r="F103" i="5"/>
  <c r="F150" i="5"/>
  <c r="F151" i="5"/>
  <c r="F152" i="5"/>
  <c r="F157" i="5"/>
  <c r="F124" i="5"/>
  <c r="F125" i="5"/>
  <c r="F130" i="5"/>
  <c r="F131" i="5"/>
  <c r="N10" i="4"/>
  <c r="G5" i="7" s="1"/>
  <c r="E43" i="4"/>
  <c r="H16" i="4" s="1"/>
  <c r="D43" i="4"/>
  <c r="H15" i="4" s="1"/>
  <c r="N13" i="4"/>
  <c r="O5" i="7" s="1"/>
  <c r="N12" i="4"/>
  <c r="M5" i="7" s="1"/>
  <c r="G69" i="5"/>
  <c r="H69" i="5"/>
  <c r="I5" i="4"/>
  <c r="AE130" i="4"/>
  <c r="AD130" i="4"/>
  <c r="AE129" i="4"/>
  <c r="AD129" i="4"/>
  <c r="AC130" i="4"/>
  <c r="AB130" i="4"/>
  <c r="AC129" i="4"/>
  <c r="AB129" i="4"/>
  <c r="Q130" i="4"/>
  <c r="P130" i="4"/>
  <c r="Q129" i="4"/>
  <c r="P129" i="4"/>
  <c r="O130" i="4"/>
  <c r="N130" i="4"/>
  <c r="O129" i="4"/>
  <c r="N129" i="4"/>
  <c r="M130" i="4"/>
  <c r="L130" i="4"/>
  <c r="M129" i="4"/>
  <c r="L129" i="4"/>
  <c r="K130" i="4"/>
  <c r="J130" i="4"/>
  <c r="K129" i="4"/>
  <c r="J129" i="4"/>
  <c r="I130" i="4"/>
  <c r="H130" i="4"/>
  <c r="I129" i="4"/>
  <c r="H129" i="4"/>
  <c r="G130" i="4"/>
  <c r="F130" i="4"/>
  <c r="G129" i="4"/>
  <c r="F129" i="4"/>
  <c r="E130" i="4"/>
  <c r="AG118" i="4"/>
  <c r="AF118" i="4"/>
  <c r="AG117" i="4"/>
  <c r="AF117" i="4"/>
  <c r="AG112" i="4"/>
  <c r="AF112" i="4"/>
  <c r="AE90" i="4"/>
  <c r="AD90" i="4"/>
  <c r="AE89" i="4"/>
  <c r="AD89" i="4"/>
  <c r="AC90" i="4"/>
  <c r="AB90" i="4"/>
  <c r="AC89" i="4"/>
  <c r="AB89" i="4"/>
  <c r="AA90" i="4"/>
  <c r="AA89" i="4"/>
  <c r="Q90" i="4"/>
  <c r="Q89" i="4"/>
  <c r="P89" i="4"/>
  <c r="O90" i="4"/>
  <c r="N90" i="4"/>
  <c r="O89" i="4"/>
  <c r="N89" i="4"/>
  <c r="M90" i="4"/>
  <c r="L90" i="4"/>
  <c r="M89" i="4"/>
  <c r="L89" i="4"/>
  <c r="K90" i="4"/>
  <c r="J90" i="4"/>
  <c r="K89" i="4"/>
  <c r="J89" i="4"/>
  <c r="I90" i="4"/>
  <c r="H90" i="4"/>
  <c r="I89" i="4"/>
  <c r="H89" i="4"/>
  <c r="G90" i="4"/>
  <c r="F90" i="4"/>
  <c r="G89" i="4"/>
  <c r="F89" i="4"/>
  <c r="E90" i="4"/>
  <c r="D90" i="4"/>
  <c r="U15" i="4"/>
  <c r="T15" i="4"/>
  <c r="AE63" i="4"/>
  <c r="AE143" i="4" s="1"/>
  <c r="AC63" i="4"/>
  <c r="AC143" i="4" s="1"/>
  <c r="AA63" i="4"/>
  <c r="AA143" i="4" s="1"/>
  <c r="Q63" i="4"/>
  <c r="Q143" i="4" s="1"/>
  <c r="O63" i="4"/>
  <c r="O103" i="4" s="1"/>
  <c r="W11" i="4" s="1"/>
  <c r="M63" i="4"/>
  <c r="M143" i="4" s="1"/>
  <c r="K63" i="4"/>
  <c r="K143" i="4" s="1"/>
  <c r="I63" i="4"/>
  <c r="I143" i="4" s="1"/>
  <c r="G63" i="4"/>
  <c r="G143" i="4" s="1"/>
  <c r="E89" i="4"/>
  <c r="AG121" i="4"/>
  <c r="AF121" i="4"/>
  <c r="AG111" i="4"/>
  <c r="AF111" i="4"/>
  <c r="AG110" i="4"/>
  <c r="AF110" i="4"/>
  <c r="AG109" i="4"/>
  <c r="AF109" i="4"/>
  <c r="F222" i="5"/>
  <c r="F223" i="5"/>
  <c r="F224" i="5"/>
  <c r="F225" i="5"/>
  <c r="F221" i="5"/>
  <c r="F212" i="5"/>
  <c r="F213" i="5"/>
  <c r="F214" i="5"/>
  <c r="F215" i="5"/>
  <c r="F211" i="5"/>
  <c r="F202" i="5"/>
  <c r="F203" i="5"/>
  <c r="F204" i="5"/>
  <c r="F205" i="5"/>
  <c r="F201" i="5"/>
  <c r="F192" i="5"/>
  <c r="F193" i="5"/>
  <c r="F194" i="5"/>
  <c r="F195" i="5"/>
  <c r="F191" i="5"/>
  <c r="F182" i="5"/>
  <c r="F183" i="5"/>
  <c r="F184" i="5"/>
  <c r="F185" i="5"/>
  <c r="F181" i="5"/>
  <c r="F175" i="5"/>
  <c r="F158" i="5"/>
  <c r="F159" i="5"/>
  <c r="F132" i="5"/>
  <c r="F104" i="5"/>
  <c r="F105" i="5"/>
  <c r="H218" i="5"/>
  <c r="G218" i="5"/>
  <c r="G208" i="5"/>
  <c r="H208" i="5"/>
  <c r="H198" i="5"/>
  <c r="G198" i="5"/>
  <c r="G188" i="5"/>
  <c r="H188" i="5"/>
  <c r="H178" i="5"/>
  <c r="G178" i="5"/>
  <c r="G162" i="5"/>
  <c r="H162" i="5"/>
  <c r="H135" i="5"/>
  <c r="G135" i="5"/>
  <c r="G108" i="5"/>
  <c r="H108" i="5"/>
  <c r="H86" i="5"/>
  <c r="G86" i="5"/>
  <c r="E63" i="4"/>
  <c r="E143" i="4" s="1"/>
  <c r="E83" i="4"/>
  <c r="AD63" i="4"/>
  <c r="AD103" i="4" s="1"/>
  <c r="V15" i="4" s="1"/>
  <c r="AB63" i="4"/>
  <c r="AB143" i="4" s="1"/>
  <c r="R63" i="4"/>
  <c r="R143" i="4" s="1"/>
  <c r="P63" i="4"/>
  <c r="P143" i="4" s="1"/>
  <c r="N63" i="4"/>
  <c r="N103" i="4" s="1"/>
  <c r="V11" i="4" s="1"/>
  <c r="L63" i="4"/>
  <c r="J63" i="4"/>
  <c r="H63" i="4"/>
  <c r="F63" i="4"/>
  <c r="D63" i="4"/>
  <c r="AA18" i="4"/>
  <c r="U14" i="4"/>
  <c r="U13" i="4"/>
  <c r="U12" i="4"/>
  <c r="U11" i="4"/>
  <c r="U10" i="4"/>
  <c r="U9" i="4"/>
  <c r="U8" i="4"/>
  <c r="U7" i="4"/>
  <c r="T14" i="4"/>
  <c r="T13" i="4"/>
  <c r="T12" i="4"/>
  <c r="T11" i="4"/>
  <c r="T10" i="4"/>
  <c r="T9" i="4"/>
  <c r="T8" i="4"/>
  <c r="T7" i="4"/>
  <c r="U6" i="4"/>
  <c r="AD67" i="4"/>
  <c r="AB67" i="4"/>
  <c r="AB66" i="4"/>
  <c r="T6" i="4"/>
  <c r="AE123" i="4"/>
  <c r="AD123" i="4"/>
  <c r="AC123" i="4"/>
  <c r="AB123" i="4"/>
  <c r="Q123" i="4"/>
  <c r="P123" i="4"/>
  <c r="AE83" i="4"/>
  <c r="AD83" i="4"/>
  <c r="AC83" i="4"/>
  <c r="AB83" i="4"/>
  <c r="Q83" i="4"/>
  <c r="P83" i="4"/>
  <c r="E123" i="4"/>
  <c r="F123" i="4"/>
  <c r="H123" i="4"/>
  <c r="J123" i="4"/>
  <c r="L123" i="4"/>
  <c r="N123" i="4"/>
  <c r="E129" i="4"/>
  <c r="D123" i="4"/>
  <c r="F83" i="4"/>
  <c r="H83" i="4"/>
  <c r="J83" i="4"/>
  <c r="L83" i="4"/>
  <c r="N83" i="4"/>
  <c r="D83" i="4"/>
  <c r="D89" i="4"/>
  <c r="O123" i="4"/>
  <c r="M123" i="4"/>
  <c r="K123" i="4"/>
  <c r="I123" i="4"/>
  <c r="G123" i="4"/>
  <c r="O83" i="4"/>
  <c r="M83" i="4"/>
  <c r="K83" i="4"/>
  <c r="I83" i="4"/>
  <c r="G83" i="4"/>
  <c r="N14" i="4"/>
  <c r="K5" i="7" s="1"/>
  <c r="N11" i="4"/>
  <c r="I5" i="7" s="1"/>
  <c r="N9" i="4" l="1"/>
  <c r="F5" i="7" s="1"/>
  <c r="N7" i="4"/>
  <c r="D5" i="7" s="1"/>
  <c r="AF134" i="4"/>
  <c r="AF133" i="4"/>
  <c r="H103" i="4"/>
  <c r="V8" i="4" s="1"/>
  <c r="F143" i="4"/>
  <c r="L143" i="4"/>
  <c r="J143" i="4"/>
  <c r="AE103" i="4"/>
  <c r="W15" i="4" s="1"/>
  <c r="AF132" i="4"/>
  <c r="AF131" i="4"/>
  <c r="F216" i="5"/>
  <c r="AF129" i="4"/>
  <c r="D103" i="4"/>
  <c r="V6" i="4" s="1"/>
  <c r="X103" i="4"/>
  <c r="AG96" i="4"/>
  <c r="T103" i="4"/>
  <c r="AG100" i="4"/>
  <c r="AF99" i="4"/>
  <c r="U103" i="4"/>
  <c r="AF91" i="4"/>
  <c r="S103" i="4"/>
  <c r="AD143" i="4"/>
  <c r="AG92" i="4"/>
  <c r="AF95" i="4"/>
  <c r="AF96" i="4"/>
  <c r="Y103" i="4"/>
  <c r="I103" i="4"/>
  <c r="W8" i="4" s="1"/>
  <c r="AG94" i="4"/>
  <c r="AF93" i="4"/>
  <c r="AF101" i="4"/>
  <c r="AG99" i="4"/>
  <c r="AF94" i="4"/>
  <c r="V103" i="4"/>
  <c r="AG129" i="4"/>
  <c r="AG98" i="4"/>
  <c r="AG91" i="4"/>
  <c r="AF97" i="4"/>
  <c r="W103" i="4"/>
  <c r="AG95" i="4"/>
  <c r="AF98" i="4"/>
  <c r="O143" i="4"/>
  <c r="AF92" i="4"/>
  <c r="AF100" i="4"/>
  <c r="AG97" i="4"/>
  <c r="P103" i="4"/>
  <c r="V12" i="4" s="1"/>
  <c r="AG93" i="4"/>
  <c r="AG101" i="4"/>
  <c r="H143" i="4"/>
  <c r="AC103" i="4"/>
  <c r="W14" i="4" s="1"/>
  <c r="AA103" i="4"/>
  <c r="W13" i="4" s="1"/>
  <c r="AB103" i="4"/>
  <c r="V14" i="4" s="1"/>
  <c r="K103" i="4"/>
  <c r="W9" i="4" s="1"/>
  <c r="L103" i="4"/>
  <c r="V10" i="4" s="1"/>
  <c r="J103" i="4"/>
  <c r="V9" i="4" s="1"/>
  <c r="R103" i="4"/>
  <c r="V13" i="4" s="1"/>
  <c r="M103" i="4"/>
  <c r="W10" i="4" s="1"/>
  <c r="N143" i="4"/>
  <c r="Q103" i="4"/>
  <c r="W12" i="4" s="1"/>
  <c r="AG89" i="4"/>
  <c r="F176" i="5"/>
  <c r="F186" i="5"/>
  <c r="F196" i="5"/>
  <c r="F226" i="5"/>
  <c r="AG123" i="4"/>
  <c r="F67" i="5"/>
  <c r="G67" i="5" s="1"/>
  <c r="L17" i="4" s="1"/>
  <c r="F160" i="5"/>
  <c r="F206" i="5"/>
  <c r="F84" i="5"/>
  <c r="F133" i="5"/>
  <c r="F106" i="5"/>
  <c r="AF123" i="4"/>
  <c r="D143" i="4"/>
  <c r="AG83" i="4"/>
  <c r="AF83" i="4"/>
  <c r="AF90" i="4"/>
  <c r="AF89" i="4"/>
  <c r="F103" i="4"/>
  <c r="V7" i="4" s="1"/>
  <c r="AF63" i="4"/>
  <c r="AF130" i="4"/>
  <c r="AG90" i="4"/>
  <c r="AG63" i="4"/>
  <c r="AG143" i="4" s="1"/>
  <c r="G103" i="4"/>
  <c r="W7" i="4" s="1"/>
  <c r="E103" i="4"/>
  <c r="W6" i="4" s="1"/>
  <c r="N8" i="4"/>
  <c r="N15" i="4" l="1"/>
  <c r="M17" i="4" s="1"/>
  <c r="E5" i="7"/>
  <c r="P5" i="7" s="1"/>
  <c r="AF103" i="4"/>
  <c r="AF143" i="4"/>
  <c r="F43" i="4"/>
  <c r="H43" i="4"/>
  <c r="AG103" i="4"/>
</calcChain>
</file>

<file path=xl/comments1.xml><?xml version="1.0" encoding="utf-8"?>
<comments xmlns="http://schemas.openxmlformats.org/spreadsheetml/2006/main">
  <authors>
    <author>Mary Quispe Oroche</author>
    <author>Carlos Muñoz Cuadros</author>
  </authors>
  <commentList>
    <comment ref="I4" authorId="0" shapeId="0">
      <text/>
    </comment>
    <comment ref="D5" authorId="1" shapeId="0">
      <text>
        <r>
          <rPr>
            <sz val="8"/>
            <color indexed="81"/>
            <rFont val="Tahoma"/>
            <family val="2"/>
          </rPr>
          <t xml:space="preserve">Considerar el llenado de las celdas con MAYÚSCULAS
</t>
        </r>
      </text>
    </comment>
    <comment ref="C9" authorId="0" shapeId="0">
      <text>
        <r>
          <rPr>
            <b/>
            <sz val="8"/>
            <color indexed="81"/>
            <rFont val="Tahoma"/>
            <family val="2"/>
          </rPr>
          <t>Obtener de página WEB APN 
http://eredenaves.apn.gob.pe/apn/inforedenaves.jsp</t>
        </r>
      </text>
    </comment>
    <comment ref="C10" authorId="1" shapeId="0">
      <text>
        <r>
          <rPr>
            <sz val="8"/>
            <color indexed="81"/>
            <rFont val="Tahoma"/>
            <family val="2"/>
          </rPr>
          <t xml:space="preserve">Ingresar la hora y fecha de la siguiente manera:
hh:mm dd/mm/aa
</t>
        </r>
      </text>
    </comment>
    <comment ref="C17" authorId="1" shapeId="0">
      <text>
        <r>
          <rPr>
            <sz val="8"/>
            <color indexed="81"/>
            <rFont val="Tahoma"/>
            <family val="2"/>
          </rPr>
          <t xml:space="preserve">Ingresar la hora y fecha de la siguiente manera:
hh:mm dd/mm/aa
</t>
        </r>
      </text>
    </comment>
    <comment ref="C23" authorId="0" shapeId="0">
      <text>
        <r>
          <rPr>
            <b/>
            <sz val="8"/>
            <color indexed="81"/>
            <rFont val="Tahoma"/>
            <family val="2"/>
          </rPr>
          <t>OBTENER DE VUCE - Ficha técnica</t>
        </r>
      </text>
    </comment>
    <comment ref="C24" authorId="0" shapeId="0">
      <text>
        <r>
          <rPr>
            <b/>
            <sz val="8"/>
            <color indexed="81"/>
            <rFont val="Tahoma"/>
            <family val="2"/>
          </rPr>
          <t>OBTENER DE VUCE - Ficha técnica</t>
        </r>
      </text>
    </comment>
    <comment ref="C25" authorId="0" shapeId="0">
      <text>
        <r>
          <rPr>
            <b/>
            <sz val="8"/>
            <color indexed="81"/>
            <rFont val="Tahoma"/>
            <family val="2"/>
          </rPr>
          <t>OBTENER DE VUCE - Ficha técnica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7" authorId="0" shapeId="0">
      <text>
        <r>
          <rPr>
            <b/>
            <sz val="8"/>
            <color indexed="81"/>
            <rFont val="Tahoma"/>
            <family val="2"/>
          </rPr>
          <t>Obtener de página WEB APN 
http://eredenaves.apn.gob.pe/apn/inforedenaves.jsp</t>
        </r>
      </text>
    </comment>
    <comment ref="C29" authorId="0" shapeId="0">
      <text>
        <r>
          <rPr>
            <b/>
            <sz val="8"/>
            <color indexed="81"/>
            <rFont val="Tahoma"/>
            <family val="2"/>
          </rPr>
          <t>Obtener información de control operativo en muelle</t>
        </r>
      </text>
    </comment>
    <comment ref="C30" authorId="0" shapeId="0">
      <text>
        <r>
          <rPr>
            <b/>
            <sz val="8"/>
            <color indexed="81"/>
            <rFont val="Tahoma"/>
            <family val="2"/>
          </rPr>
          <t>Obtener información de control operativo en muelle</t>
        </r>
      </text>
    </comment>
    <comment ref="C31" authorId="0" shapeId="0">
      <text>
        <r>
          <rPr>
            <b/>
            <sz val="8"/>
            <color indexed="81"/>
            <rFont val="Tahoma"/>
            <family val="2"/>
          </rPr>
          <t>Obtener información de control operativo en muelle</t>
        </r>
      </text>
    </comment>
    <comment ref="C32" authorId="0" shapeId="0">
      <text>
        <r>
          <rPr>
            <b/>
            <sz val="8"/>
            <color indexed="81"/>
            <rFont val="Tahoma"/>
            <family val="2"/>
          </rPr>
          <t>Obtener de página WEB APN 
http://eredenaves.apn.gob.pe/apn/inforedenaves.jsp</t>
        </r>
      </text>
    </comment>
    <comment ref="C33" authorId="0" shapeId="0">
      <text>
        <r>
          <rPr>
            <b/>
            <sz val="8"/>
            <color indexed="81"/>
            <rFont val="Tahoma"/>
            <family val="2"/>
          </rPr>
          <t>Obtener de página WEB APN 
http://eredenaves.apn.gob.pe/apn/inforedenaves.jsp</t>
        </r>
      </text>
    </comment>
    <comment ref="D46" authorId="1" shapeId="0">
      <text>
        <r>
          <rPr>
            <sz val="8"/>
            <color indexed="81"/>
            <rFont val="Tahoma"/>
            <family val="2"/>
          </rPr>
          <t xml:space="preserve">Considerar en todas las columnas el sgt. formato
B 1...
B 1A...
</t>
        </r>
      </text>
    </comment>
    <comment ref="F46" authorId="1" shapeId="0">
      <text>
        <r>
          <rPr>
            <sz val="8"/>
            <color indexed="81"/>
            <rFont val="Tahoma"/>
            <family val="2"/>
          </rPr>
          <t xml:space="preserve">Considerar en todas las columnas el sgt. formato
B 1...
B 1A...
</t>
        </r>
      </text>
    </comment>
    <comment ref="H46" authorId="1" shapeId="0">
      <text>
        <r>
          <rPr>
            <sz val="8"/>
            <color indexed="81"/>
            <rFont val="Tahoma"/>
            <family val="2"/>
          </rPr>
          <t xml:space="preserve">Considerar en todas las columnas el sgt. formato
B 1...
B 1A...
</t>
        </r>
      </text>
    </comment>
    <comment ref="J46" authorId="1" shapeId="0">
      <text>
        <r>
          <rPr>
            <sz val="8"/>
            <color indexed="81"/>
            <rFont val="Tahoma"/>
            <family val="2"/>
          </rPr>
          <t xml:space="preserve">Considerar en todas las columnas el sgt. formato
B 1...
B 1A...
</t>
        </r>
      </text>
    </comment>
    <comment ref="L46" authorId="1" shapeId="0">
      <text>
        <r>
          <rPr>
            <sz val="8"/>
            <color indexed="81"/>
            <rFont val="Tahoma"/>
            <family val="2"/>
          </rPr>
          <t xml:space="preserve">Considerar en todas las columnas el sgt. formato
B 1...
B 1A...
</t>
        </r>
      </text>
    </comment>
    <comment ref="N46" authorId="1" shapeId="0">
      <text>
        <r>
          <rPr>
            <sz val="8"/>
            <color indexed="81"/>
            <rFont val="Tahoma"/>
            <family val="2"/>
          </rPr>
          <t xml:space="preserve">Considerar en todas las columnas el sgt. formato
B 1...
B 1A...
</t>
        </r>
      </text>
    </comment>
    <comment ref="P46" authorId="1" shapeId="0">
      <text>
        <r>
          <rPr>
            <sz val="8"/>
            <color indexed="81"/>
            <rFont val="Tahoma"/>
            <family val="2"/>
          </rPr>
          <t xml:space="preserve">Considerar en todas las columnas el sgt. formato
B 1...
B 1A...
</t>
        </r>
      </text>
    </comment>
    <comment ref="R46" authorId="1" shapeId="0">
      <text>
        <r>
          <rPr>
            <sz val="8"/>
            <color indexed="81"/>
            <rFont val="Tahoma"/>
            <family val="2"/>
          </rPr>
          <t xml:space="preserve">Considerar en todas las columnas el sgt. formato
B 1...
B 1A...
</t>
        </r>
      </text>
    </comment>
    <comment ref="T46" authorId="1" shapeId="0">
      <text>
        <r>
          <rPr>
            <sz val="8"/>
            <color indexed="81"/>
            <rFont val="Tahoma"/>
            <family val="2"/>
          </rPr>
          <t xml:space="preserve">Considerar en todas las columnas el sgt. formato
B 1...
B 1A...
</t>
        </r>
      </text>
    </comment>
    <comment ref="V46" authorId="1" shapeId="0">
      <text>
        <r>
          <rPr>
            <sz val="8"/>
            <color indexed="81"/>
            <rFont val="Tahoma"/>
            <family val="2"/>
          </rPr>
          <t xml:space="preserve">Considerar en todas las columnas el sgt. formato
B 1...
B 1A...
</t>
        </r>
      </text>
    </comment>
    <comment ref="X46" authorId="1" shapeId="0">
      <text>
        <r>
          <rPr>
            <sz val="8"/>
            <color indexed="81"/>
            <rFont val="Tahoma"/>
            <family val="2"/>
          </rPr>
          <t xml:space="preserve">Considerar en todas las columnas el sgt. formato
B 1...
B 1A...
</t>
        </r>
      </text>
    </comment>
    <comment ref="Z46" authorId="1" shapeId="0">
      <text>
        <r>
          <rPr>
            <sz val="8"/>
            <color indexed="81"/>
            <rFont val="Tahoma"/>
            <family val="2"/>
          </rPr>
          <t xml:space="preserve">Considerar en todas las columnas el sgt. formato
B 1...
B 1A...
</t>
        </r>
      </text>
    </comment>
    <comment ref="AB46" authorId="1" shapeId="0">
      <text>
        <r>
          <rPr>
            <sz val="8"/>
            <color indexed="81"/>
            <rFont val="Tahoma"/>
            <family val="2"/>
          </rPr>
          <t xml:space="preserve">Considerar en todas las columnas el sgt. formato
B 1...
B 1A...
</t>
        </r>
      </text>
    </comment>
    <comment ref="AD46" authorId="1" shapeId="0">
      <text>
        <r>
          <rPr>
            <sz val="8"/>
            <color indexed="81"/>
            <rFont val="Tahoma"/>
            <family val="2"/>
          </rPr>
          <t xml:space="preserve">Considerar en todas las columnas el sgt. formato
B 1...
B 1A...
</t>
        </r>
      </text>
    </comment>
    <comment ref="D47" authorId="1" shapeId="0">
      <text>
        <r>
          <rPr>
            <sz val="8"/>
            <color indexed="81"/>
            <rFont val="Tahoma"/>
            <family val="2"/>
          </rPr>
          <t>Considerar en todas las columnas el sgt. formato
VIGAN-DESC
BUHLER-DESC
GOTTWALD-DESC
GOTTWALD-EMB
FAJA DE MINERAL
CLAM 10TN-DESC
CLAM 10TN-EMB 
CONT-DESC
CONT-EMB
MOVILIZACION
TRANSBORDO
DESCARGA
EMBARQUE</t>
        </r>
      </text>
    </comment>
    <comment ref="F47" authorId="1" shapeId="0">
      <text>
        <r>
          <rPr>
            <sz val="8"/>
            <color indexed="81"/>
            <rFont val="Tahoma"/>
            <family val="2"/>
          </rPr>
          <t>Considerar en todas las columnas el sgt. formato
VIGAN-DESC
BUHLER-DESC
GOTTWALD-DESC
GOTTWALD-EMB
FAJA DE MINERAL
CLAM 10TN-DESC
CLAM 10TN-EMB 
CONT-DESC
CONT-EMB
MOVILIZACION
TRANSBORDO
DESCARGA
EMBARQUE</t>
        </r>
      </text>
    </comment>
    <comment ref="H47" authorId="1" shapeId="0">
      <text>
        <r>
          <rPr>
            <sz val="8"/>
            <color indexed="81"/>
            <rFont val="Tahoma"/>
            <family val="2"/>
          </rPr>
          <t>Considerar en todas las columnas el sgt. formato
VIGAN-DESC
BUHLER-DESC
GOTTWALD-DESC
GOTTWALD-EMB
FAJA DE MINERAL
CLAM 10TN-DESC
CLAM 10TN-EMB 
CONT-DESC
CONT-EMB
MOVILIZACION
TRANSBORDO
DESCARGA
EMBARQUE</t>
        </r>
      </text>
    </comment>
    <comment ref="J47" authorId="1" shapeId="0">
      <text>
        <r>
          <rPr>
            <sz val="8"/>
            <color indexed="81"/>
            <rFont val="Tahoma"/>
            <family val="2"/>
          </rPr>
          <t>Considerar en todas las columnas el sgt. formato
VIGAN-DESC
BUHLER-DESC
GOTTWALD-DESC
GOTTWALD-EMB
FAJA DE MINERAL
CLAM 10TN-DESC
CLAM 10TN-EMB 
CONT-DESC
CONT-EMB
MOVILIZACION
TRANSBORDO
DESCARGA
EMBARQUE</t>
        </r>
      </text>
    </comment>
    <comment ref="L47" authorId="1" shapeId="0">
      <text>
        <r>
          <rPr>
            <sz val="8"/>
            <color indexed="81"/>
            <rFont val="Tahoma"/>
            <family val="2"/>
          </rPr>
          <t>Considerar en todas las columnas el sgt. formato
VIGAN-DESC
BUHLER-DESC
GOTTWALD-DESC
GOTTWALD-EMB
FAJA DE MINERAL
CLAM 10TN-DESC
CLAM 10TN-EMB 
CONT-DESC
CONT-EMB
MOVILIZACION
TRANSBORDO
DESCARGA
EMBARQUE</t>
        </r>
      </text>
    </comment>
    <comment ref="N47" authorId="1" shapeId="0">
      <text>
        <r>
          <rPr>
            <sz val="8"/>
            <color indexed="81"/>
            <rFont val="Tahoma"/>
            <family val="2"/>
          </rPr>
          <t>Considerar en todas las columnas el sgt. formato
VIGAN-DESC
BUHLER-DESC
GOTTWALD-DESC
GOTTWALD-EMB
FAJA DE MINERAL
CLAM 10TN-DESC
CLAM 10TN-EMB 
CONT-DESC
CONT-EMB
MOVILIZACION
TRANSBORDO
DESCARGA
EMBARQUE</t>
        </r>
      </text>
    </comment>
    <comment ref="P47" authorId="1" shapeId="0">
      <text>
        <r>
          <rPr>
            <sz val="8"/>
            <color indexed="81"/>
            <rFont val="Tahoma"/>
            <family val="2"/>
          </rPr>
          <t>Considerar en todas las columnas el sgt. formato
VIGAN-DESC
BUHLER-DESC
GOTTWALD-DESC
GOTTWALD-EMB
FAJA DE MINERAL
CLAM 10TN-DESC
CLAM 10TN-EMB 
CONT-DESC
CONT-EMB
MOVILIZACION
TRANSBORDO
DESCARGA
EMBARQUE</t>
        </r>
      </text>
    </comment>
    <comment ref="R47" authorId="1" shapeId="0">
      <text>
        <r>
          <rPr>
            <sz val="8"/>
            <color indexed="81"/>
            <rFont val="Tahoma"/>
            <family val="2"/>
          </rPr>
          <t>Considerar en todas las columnas el sgt. formato
VIGAN-DESC
BUHLER-DESC
GOTTWALD-DESC
GOTTWALD-EMB
FAJA DE MINERAL
CLAM 10TN-DESC
CLAM 10TN-EMB 
CONT-DESC
CONT-EMB
MOVILIZACION
TRANSBORDO
DESCARGA
EMBARQUE</t>
        </r>
      </text>
    </comment>
    <comment ref="T47" authorId="1" shapeId="0">
      <text>
        <r>
          <rPr>
            <sz val="8"/>
            <color indexed="81"/>
            <rFont val="Tahoma"/>
            <family val="2"/>
          </rPr>
          <t>Considerar en todas las columnas el sgt. formato
VIGAN-DESC
BUHLER-DESC
GOTTWALD-DESC
GOTTWALD-EMB
FAJA DE MINERAL
CLAM 10TN-DESC
CLAM 10TN-EMB 
CONT-DESC
CONT-EMB
MOVILIZACION
TRANSBORDO
DESCARGA
EMBARQUE</t>
        </r>
      </text>
    </comment>
    <comment ref="V47" authorId="1" shapeId="0">
      <text>
        <r>
          <rPr>
            <sz val="8"/>
            <color indexed="81"/>
            <rFont val="Tahoma"/>
            <family val="2"/>
          </rPr>
          <t>Considerar en todas las columnas el sgt. formato
VIGAN-DESC
BUHLER-DESC
GOTTWALD-DESC
GOTTWALD-EMB
FAJA DE MINERAL
CLAM 10TN-DESC
CLAM 10TN-EMB 
CONT-DESC
CONT-EMB
MOVILIZACION
TRANSBORDO
DESCARGA
EMBARQUE</t>
        </r>
      </text>
    </comment>
    <comment ref="X47" authorId="1" shapeId="0">
      <text>
        <r>
          <rPr>
            <sz val="8"/>
            <color indexed="81"/>
            <rFont val="Tahoma"/>
            <family val="2"/>
          </rPr>
          <t>Considerar en todas las columnas el sgt. formato
VIGAN-DESC
BUHLER-DESC
GOTTWALD-DESC
GOTTWALD-EMB
FAJA DE MINERAL
CLAM 10TN-DESC
CLAM 10TN-EMB 
CONT-DESC
CONT-EMB
MOVILIZACION
TRANSBORDO
DESCARGA
EMBARQUE</t>
        </r>
      </text>
    </comment>
    <comment ref="Z47" authorId="1" shapeId="0">
      <text>
        <r>
          <rPr>
            <sz val="8"/>
            <color indexed="81"/>
            <rFont val="Tahoma"/>
            <family val="2"/>
          </rPr>
          <t>Considerar en todas las columnas el sgt. formato
VIGAN-DESC
BUHLER-DESC
GOTTWALD-DESC
GOTTWALD-EMB
FAJA DE MINERAL
CLAM 10TN-DESC
CLAM 10TN-EMB 
CONT-DESC
CONT-EMB
MOVILIZACION
TRANSBORDO
DESCARGA
EMBARQUE</t>
        </r>
      </text>
    </comment>
    <comment ref="AB47" authorId="1" shapeId="0">
      <text>
        <r>
          <rPr>
            <sz val="8"/>
            <color indexed="81"/>
            <rFont val="Tahoma"/>
            <family val="2"/>
          </rPr>
          <t>Considerar en todas las columnas el sgt. formato
VIGAN-DESC
BUHLER-DESC
GOTTWALD-DESC
GOTTWALD-EMB
FAJA DE MINERAL
CLAM 10TN-DESC
CLAM 10TN-EMB 
CONT-DESC
CONT-EMB
MOVILIZACION
TRANSBORDO
DESCARGA
EMBARQUE</t>
        </r>
      </text>
    </comment>
    <comment ref="AD47" authorId="1" shapeId="0">
      <text>
        <r>
          <rPr>
            <sz val="8"/>
            <color indexed="81"/>
            <rFont val="Tahoma"/>
            <family val="2"/>
          </rPr>
          <t>Considerar en todas las columnas el sgt. formato
VIGAN-DESC
BUHLER-DESC
GOTTWALD-DESC
GOTTWALD-EMB
FAJA DE MINERAL
CLAM 10TN-DESC
CLAM 10TN-EMB 
CONT-DESC
CONT-EMB
MOVILIZACION
TRANSBORDO
DESCARGA
EMBARQUE</t>
        </r>
      </text>
    </comment>
  </commentList>
</comments>
</file>

<file path=xl/sharedStrings.xml><?xml version="1.0" encoding="utf-8"?>
<sst xmlns="http://schemas.openxmlformats.org/spreadsheetml/2006/main" count="1141" uniqueCount="481">
  <si>
    <t>Fecha</t>
  </si>
  <si>
    <t>Atraque</t>
  </si>
  <si>
    <t>Inicio</t>
  </si>
  <si>
    <t>Termino</t>
  </si>
  <si>
    <t>Desatraque</t>
  </si>
  <si>
    <t>Jornada</t>
  </si>
  <si>
    <t>Total</t>
  </si>
  <si>
    <t>TIEMPOS MUERTOS</t>
  </si>
  <si>
    <t>SERVICIO NO CONFORME</t>
  </si>
  <si>
    <t>Totales</t>
  </si>
  <si>
    <t>Peso</t>
  </si>
  <si>
    <t>Cantidad</t>
  </si>
  <si>
    <t>PESO</t>
  </si>
  <si>
    <t>CANTIDAD</t>
  </si>
  <si>
    <t>Tisur</t>
  </si>
  <si>
    <t>Nave</t>
  </si>
  <si>
    <t>Recalada</t>
  </si>
  <si>
    <t>Ag. Marítimo</t>
  </si>
  <si>
    <t>Ag. Estiba</t>
  </si>
  <si>
    <t>Detalle</t>
  </si>
  <si>
    <t>Cliente</t>
  </si>
  <si>
    <t>Tiempo</t>
  </si>
  <si>
    <t>FORSUR-O-0050</t>
  </si>
  <si>
    <t>Bandera</t>
  </si>
  <si>
    <t>Pto. Origen</t>
  </si>
  <si>
    <t>Pto. Destino</t>
  </si>
  <si>
    <t>Muelle</t>
  </si>
  <si>
    <t>Hrs. Efectivas</t>
  </si>
  <si>
    <t>Hrs. Amarradero</t>
  </si>
  <si>
    <t>B 1</t>
  </si>
  <si>
    <t>B 2</t>
  </si>
  <si>
    <t>B 3</t>
  </si>
  <si>
    <t>B 4</t>
  </si>
  <si>
    <t>B 5</t>
  </si>
  <si>
    <t>B 6</t>
  </si>
  <si>
    <t>Ocurrencias</t>
  </si>
  <si>
    <t>Amarre y Desamarre</t>
  </si>
  <si>
    <t>Causa</t>
  </si>
  <si>
    <t>Alquiler de Amarradero</t>
  </si>
  <si>
    <t>Uso de Muelle</t>
  </si>
  <si>
    <t>Traccion</t>
  </si>
  <si>
    <t>Manipuleo</t>
  </si>
  <si>
    <t>Alquiler de Equipos</t>
  </si>
  <si>
    <t>Motivo</t>
  </si>
  <si>
    <t>Paradas</t>
  </si>
  <si>
    <t>Imputable</t>
  </si>
  <si>
    <t>Registro de Tiempos de Recepcion y Despacho de la Nave</t>
  </si>
  <si>
    <t>Acción Inmediata</t>
  </si>
  <si>
    <t>Situación</t>
  </si>
  <si>
    <t>TONELAJE POR BODEGA</t>
  </si>
  <si>
    <t>REGIMEN</t>
  </si>
  <si>
    <t>HORAS EFECTIVAS POR BODEGA</t>
  </si>
  <si>
    <t>RENDIMIENTO EFECTIVO POR BODEGA</t>
  </si>
  <si>
    <t>HORAS TOTALES POR BODEGA</t>
  </si>
  <si>
    <t xml:space="preserve">RENDIMIENTO TOTAL POR BODEGA </t>
  </si>
  <si>
    <t>TOTALES</t>
  </si>
  <si>
    <t>REGISTRO DE PARADAS DE TODAS LAS BODEGAS</t>
  </si>
  <si>
    <t>TIEMPO MUERTO</t>
  </si>
  <si>
    <t>Supervisor de Muelle</t>
  </si>
  <si>
    <t>OPERACIÓN</t>
  </si>
  <si>
    <t>Estado del mar</t>
  </si>
  <si>
    <t>Tipo de nave</t>
  </si>
  <si>
    <t>Ciclo grua</t>
  </si>
  <si>
    <t>Estado producto</t>
  </si>
  <si>
    <t>Botoneros</t>
  </si>
  <si>
    <t>Balanceras</t>
  </si>
  <si>
    <t>Canchadores (Cuadrillas)</t>
  </si>
  <si>
    <t>00/08</t>
  </si>
  <si>
    <t>08/16</t>
  </si>
  <si>
    <t>16/24</t>
  </si>
  <si>
    <t>B 7</t>
  </si>
  <si>
    <t>B 8</t>
  </si>
  <si>
    <t>B 9</t>
  </si>
  <si>
    <t>B 10</t>
  </si>
  <si>
    <t>Recepcion</t>
  </si>
  <si>
    <t>DATOS DE LA OPERACIÓN</t>
  </si>
  <si>
    <t>COMENTARIOS</t>
  </si>
  <si>
    <t>Torres Absorventes</t>
  </si>
  <si>
    <t>Gottwald</t>
  </si>
  <si>
    <t>Faja Minerales</t>
  </si>
  <si>
    <t>Portalonero</t>
  </si>
  <si>
    <t>EQUIPOS TERCEROS</t>
  </si>
  <si>
    <t>BODEGA</t>
  </si>
  <si>
    <t>EQUIPO</t>
  </si>
  <si>
    <t>CANT.</t>
  </si>
  <si>
    <t>TIEMPOS PRE Y POST OPERACIÓN</t>
  </si>
  <si>
    <t>CONFORME</t>
  </si>
  <si>
    <t>NO CONFORME</t>
  </si>
  <si>
    <t>Hrs Pre</t>
  </si>
  <si>
    <t>Hrs Post</t>
  </si>
  <si>
    <t>REGISTRO DE PARADAS</t>
  </si>
  <si>
    <t>MALO</t>
  </si>
  <si>
    <t>Humedad del Producto</t>
  </si>
  <si>
    <t>Temperatura del Producto</t>
  </si>
  <si>
    <t xml:space="preserve">PRODUCTO </t>
  </si>
  <si>
    <t>CLIENTE (S)</t>
  </si>
  <si>
    <t>NAVIERO</t>
  </si>
  <si>
    <t>ESTIBA</t>
  </si>
  <si>
    <t>TISUR</t>
  </si>
  <si>
    <t>CLIENTE</t>
  </si>
  <si>
    <t>Hrs Oper.</t>
  </si>
  <si>
    <t>Peso Draft</t>
  </si>
  <si>
    <t>HORAS</t>
  </si>
  <si>
    <t>DETALLE</t>
  </si>
  <si>
    <t>SERVICIO</t>
  </si>
  <si>
    <t>SOLCITUDES DE SERVICIOS</t>
  </si>
  <si>
    <t>ALQUILER DE ELEVADORA</t>
  </si>
  <si>
    <t>ALQUILER DE GRUA GOTTWALD</t>
  </si>
  <si>
    <t>ALQUILER DE GRUA GROVE</t>
  </si>
  <si>
    <t>ALQUILER DE PORTACONTENEDORES</t>
  </si>
  <si>
    <t>SUMINISTRO DE AGUA</t>
  </si>
  <si>
    <t>CONEXIÓN DE MANGAS</t>
  </si>
  <si>
    <t>PERSONAL A LA ORDEN</t>
  </si>
  <si>
    <t>MOVILIZACION DE CONT. VIA MUELLE</t>
  </si>
  <si>
    <t>MOVILIZACION DE CONT. MUELLE / ZONA</t>
  </si>
  <si>
    <t>ALQUILER DE TRUCK MOVIL</t>
  </si>
  <si>
    <t>AQLUILER DE BALANZA</t>
  </si>
  <si>
    <t>TORRE BHULER</t>
  </si>
  <si>
    <t>TORRE VIGAN</t>
  </si>
  <si>
    <t>DESECHOS ORGANICOS</t>
  </si>
  <si>
    <t>OCUPACION DE ESPACIO</t>
  </si>
  <si>
    <t>NRO. SOL.</t>
  </si>
  <si>
    <t>M2</t>
  </si>
  <si>
    <t>TNS.</t>
  </si>
  <si>
    <t>Rend. Tn/Hrs. Amarradero</t>
  </si>
  <si>
    <t>Rend. Un/Hrs. Amarradero</t>
  </si>
  <si>
    <t>Operadores</t>
  </si>
  <si>
    <t>MOVILIZACION DE TUBERIAS Y MANGAS</t>
  </si>
  <si>
    <t>Tarjadoras</t>
  </si>
  <si>
    <t>TIEMPOS MUERTOS APN</t>
  </si>
  <si>
    <t>Imputable APN</t>
  </si>
  <si>
    <t>Refrigerio</t>
  </si>
  <si>
    <t>Fuerza Mayor</t>
  </si>
  <si>
    <t>OPERATIVAS</t>
  </si>
  <si>
    <t>REFRIGERIO</t>
  </si>
  <si>
    <t>FUERZA MAYOR</t>
  </si>
  <si>
    <t>ATRAQUE</t>
  </si>
  <si>
    <t>DESATRAQUE</t>
  </si>
  <si>
    <t xml:space="preserve">TERCEROS </t>
  </si>
  <si>
    <t>Empresa Supervisora - Draff</t>
  </si>
  <si>
    <t>Hrs. Operacion</t>
  </si>
  <si>
    <t>FECHA:</t>
  </si>
  <si>
    <t>NAVE:</t>
  </si>
  <si>
    <t>AG. MARITIMA</t>
  </si>
  <si>
    <t>AG. ESTIBA</t>
  </si>
  <si>
    <t xml:space="preserve">LISTA DE VERIFICACION DE SEGURIDAD PARA OPERACIONES CON CARGA LIQUIDA PELIGROSA </t>
  </si>
  <si>
    <t>ITEM</t>
  </si>
  <si>
    <t>DESCRIPCION</t>
  </si>
  <si>
    <t>BUENO</t>
  </si>
  <si>
    <t>NO HAY</t>
  </si>
  <si>
    <t>OBSERVACIONES</t>
  </si>
  <si>
    <t>ILUMINACION EN LA ZONA DE MANIOBRA</t>
  </si>
  <si>
    <t>AROS SALVAVIDAS</t>
  </si>
  <si>
    <t>EQUIPOS DE LUCHA CONTRA INCENCIOS</t>
  </si>
  <si>
    <t>LONA ENTRE LA NAVE Y EL MUELLE</t>
  </si>
  <si>
    <t>REGIMEN DE DESCARGA ESTABLECIDO</t>
  </si>
  <si>
    <t>REGIMEN DE DESCARGA MAXIMO</t>
  </si>
  <si>
    <t>REGIMEN DE DESCARGA MINIMO</t>
  </si>
  <si>
    <t>AVISOS / SEÑALIZACION</t>
  </si>
  <si>
    <t xml:space="preserve">ESCALA CON RED </t>
  </si>
  <si>
    <t>GUARDIA PERMANENTE</t>
  </si>
  <si>
    <t>MANIFOLD DE ACIDUCTO</t>
  </si>
  <si>
    <t>GUARDIAS DE SEGURIDAD</t>
  </si>
  <si>
    <t>EXISTIO DERRAMES DURANTE LA DESCARGA</t>
  </si>
  <si>
    <t>OBSERVACIONES:</t>
  </si>
  <si>
    <t>Arribo</t>
  </si>
  <si>
    <t>Hrs Esp Bahia</t>
  </si>
  <si>
    <t>JANNETT ALBITRES</t>
  </si>
  <si>
    <t>JORGE HUERTA</t>
  </si>
  <si>
    <t>JESUS PASTOR</t>
  </si>
  <si>
    <t>Liebher</t>
  </si>
  <si>
    <t>MANUEL GALLEGOS</t>
  </si>
  <si>
    <t>FABRICIO RIVERA</t>
  </si>
  <si>
    <t>INGRESO SUMINISTRO AGUA</t>
  </si>
  <si>
    <t>Equipo Tisur</t>
  </si>
  <si>
    <t>Equipos Terceros</t>
  </si>
  <si>
    <t>SERVICIOS A LIQUIDAR</t>
  </si>
  <si>
    <t>Personal</t>
  </si>
  <si>
    <t>CARGO</t>
  </si>
  <si>
    <t>RECURSOS UTILIZADOS</t>
  </si>
  <si>
    <t>Supervisores de Muelle</t>
  </si>
  <si>
    <t>Regimen</t>
  </si>
  <si>
    <t>Tipo de Operación</t>
  </si>
  <si>
    <t>Agencias</t>
  </si>
  <si>
    <t>Estado de la Mar</t>
  </si>
  <si>
    <t>Recepción de la nave</t>
  </si>
  <si>
    <t>Bodegas Tipo Cajon</t>
  </si>
  <si>
    <t>Bodegas con Wines</t>
  </si>
  <si>
    <t>Nombre del Trabajador</t>
  </si>
  <si>
    <t>MURILLO QUISPE FRANCIS UBALDO</t>
  </si>
  <si>
    <t>REGENTE CORNEJO PIERO</t>
  </si>
  <si>
    <t>Cargo</t>
  </si>
  <si>
    <t>OPERADOR</t>
  </si>
  <si>
    <t>ALIAGA ARELA EVA</t>
  </si>
  <si>
    <t>YDME QUISPE IRMA FRIDA</t>
  </si>
  <si>
    <t>MEZA ROQUE ZAIDA</t>
  </si>
  <si>
    <t>TARJADOR</t>
  </si>
  <si>
    <t>ALBITRES VELASQUEZ, JANNET</t>
  </si>
  <si>
    <t>ALVAREZ VERGARA, MANUEL</t>
  </si>
  <si>
    <t>CACERES QUEA, JOSE</t>
  </si>
  <si>
    <t>CANAZA PROVINCIA, ELIZABETH</t>
  </si>
  <si>
    <t>CHOQUEHUANCA VILCA, RAQUEL</t>
  </si>
  <si>
    <t>FIGUEROA RODRIGUEZ, EDER</t>
  </si>
  <si>
    <t>MEDINA REVILLA, FELIX</t>
  </si>
  <si>
    <t>PEÑARANDA DEL CARPIO, HELBERT</t>
  </si>
  <si>
    <t>ZEGARRA MEDINA, MIKI</t>
  </si>
  <si>
    <t>ZEGARRA MEDINA, REMIGIO</t>
  </si>
  <si>
    <t>RIVERA TEJADA, MIGUEL FABRICIO</t>
  </si>
  <si>
    <t>FIGUEROA FLORES,MARCO ANTONIO</t>
  </si>
  <si>
    <t>SUP. MUELLE</t>
  </si>
  <si>
    <t>GAVIERO</t>
  </si>
  <si>
    <t>OP. FAJA</t>
  </si>
  <si>
    <t>Cambio de Amarradero</t>
  </si>
  <si>
    <t>Nombres</t>
  </si>
  <si>
    <t>PERSONAL MANIOBRAS DE NAVE</t>
  </si>
  <si>
    <t>IMPORTACION</t>
  </si>
  <si>
    <t>EXPORTACION</t>
  </si>
  <si>
    <t>BOLIVIA EXPORTACION</t>
  </si>
  <si>
    <t>BOLIVIA IMPORTACION</t>
  </si>
  <si>
    <t>CABOTAJE</t>
  </si>
  <si>
    <t>TRANSBORDO</t>
  </si>
  <si>
    <t>DESCARGA INDIRECTA</t>
  </si>
  <si>
    <t>DESCARGA DIRECTA</t>
  </si>
  <si>
    <t>EMBARQUE INDIRECTO</t>
  </si>
  <si>
    <t>EMBARQUE DIRECTO</t>
  </si>
  <si>
    <t>TORREBHULER</t>
  </si>
  <si>
    <t>ELEVADORA 05 TNS.</t>
  </si>
  <si>
    <t>ELEVADORA 07 TNS.</t>
  </si>
  <si>
    <t>ELEVADORA 13 TNS.</t>
  </si>
  <si>
    <t>ELEVADORA 20 TNS.</t>
  </si>
  <si>
    <t>MAGNUM / VOLQUETE</t>
  </si>
  <si>
    <t>BOBCAT</t>
  </si>
  <si>
    <t>FAJA TRANSPORTADORA MUELLE F</t>
  </si>
  <si>
    <t>FAJA TRANSPORTADORA MUELLE C</t>
  </si>
  <si>
    <t>BARREDORA</t>
  </si>
  <si>
    <t>GRUA GOTTWALD</t>
  </si>
  <si>
    <t>GRUA LIEBHERR</t>
  </si>
  <si>
    <t>PORTACONTENEDORES LLENOS</t>
  </si>
  <si>
    <t>PORTACONTENEDORES VACIOS</t>
  </si>
  <si>
    <t>INMARPAC</t>
  </si>
  <si>
    <t>RASAN</t>
  </si>
  <si>
    <t>CANOPUS</t>
  </si>
  <si>
    <t>AGUNSA</t>
  </si>
  <si>
    <t>TRAMARSA</t>
  </si>
  <si>
    <t>SOUTH SHIPPING</t>
  </si>
  <si>
    <t>OCEANO</t>
  </si>
  <si>
    <t>SERPAC</t>
  </si>
  <si>
    <t>FAPOSAC</t>
  </si>
  <si>
    <t>PAYLOADER</t>
  </si>
  <si>
    <t>ELEVADORA</t>
  </si>
  <si>
    <t>CAMIONES</t>
  </si>
  <si>
    <t>TRIMADORA</t>
  </si>
  <si>
    <t>REGULAR</t>
  </si>
  <si>
    <t>EN BAHIA</t>
  </si>
  <si>
    <t>EN MUELLE</t>
  </si>
  <si>
    <t>PERSONAL</t>
  </si>
  <si>
    <t>TRUCK MOVIL</t>
  </si>
  <si>
    <t>MANLIFT</t>
  </si>
  <si>
    <t>OPERADOR MAGNUM</t>
  </si>
  <si>
    <t>OPERADOR BOBCAT</t>
  </si>
  <si>
    <t>OPERADOR BARREDORA</t>
  </si>
  <si>
    <t>OPERADOR TRUCK MOVIL</t>
  </si>
  <si>
    <t>OPERADOR MANLIFT</t>
  </si>
  <si>
    <t>OPERADOR TORRE VIGAN</t>
  </si>
  <si>
    <t>OPERADOR TORRE BHULER</t>
  </si>
  <si>
    <t>OPERADOR ELEVADORA 05</t>
  </si>
  <si>
    <t>OPERADOR ELEVADORA 07</t>
  </si>
  <si>
    <t>OPERADOR ELEVADORA 13</t>
  </si>
  <si>
    <t>OPERADOR ELEVADORA 20</t>
  </si>
  <si>
    <t>OPERADOR FAJA F</t>
  </si>
  <si>
    <t>OPERADOR FAJA C</t>
  </si>
  <si>
    <t>OPERADOR DE GRUA GOTTWALD</t>
  </si>
  <si>
    <t>OPERADOR DE GRUA LIEBHERR</t>
  </si>
  <si>
    <t>OPERADOR PORTACONTENEDOR LLENOS</t>
  </si>
  <si>
    <t>OPERADOR PORTACONTENEDOR VACIOS</t>
  </si>
  <si>
    <t>BOTONERO TORRE VIGAN</t>
  </si>
  <si>
    <t>SUPERVISOR DE MUELLE</t>
  </si>
  <si>
    <t>RIGGER GOTTWALD</t>
  </si>
  <si>
    <t>RIGGER LIEBHERR</t>
  </si>
  <si>
    <t>OPERADOR DE GRUA TEREX</t>
  </si>
  <si>
    <t>ZEGARRA GRANDA, AYMAR</t>
  </si>
  <si>
    <t>CAVIDES CHAVEZ ALBY FRENZY</t>
  </si>
  <si>
    <t>AMBULANCIA</t>
  </si>
  <si>
    <t>CORRDINACION ANTES DEL INICIO DE OPERACIONES NAVE - MUELLE (LOADING MASTER CON SUPERVISOR DE MUELLE)</t>
  </si>
  <si>
    <t>CERTIFICADO DE OPERADOR DE ELEVADORA</t>
  </si>
  <si>
    <t>OPERACIONES</t>
  </si>
  <si>
    <t>SEGURIDAD</t>
  </si>
  <si>
    <t>AMAO MAMANI ENRIQUE POMPEYO</t>
  </si>
  <si>
    <t>ARAGON VALDEZ YHOCINIO MANUEL</t>
  </si>
  <si>
    <t>ARCE MAMANI ERLY RICHARD</t>
  </si>
  <si>
    <t>AROCUTIPA MAMANI OSCAR</t>
  </si>
  <si>
    <t>CARI MAMANI VICTOR MANUEL</t>
  </si>
  <si>
    <t>CHALCO PUMA ALEXANDER</t>
  </si>
  <si>
    <t>CHAMBI DIAZ PABLO MARTIN</t>
  </si>
  <si>
    <t>COARICONA MENDOZA JOSE LUIS</t>
  </si>
  <si>
    <t>CONDORI JHON</t>
  </si>
  <si>
    <t>CUENTAS LARENAS JONATHAN ELVIS JUAN</t>
  </si>
  <si>
    <t>ELIZALDE MELGAR MARIO FAUSTINO</t>
  </si>
  <si>
    <t>FERNANDEZ VARGAS JAVIER ALEJANDRO</t>
  </si>
  <si>
    <t>MAYHUIRE FLORES FERNANDO ALBERTO</t>
  </si>
  <si>
    <t>MENDOZA QUISPE HERNAN YUBER</t>
  </si>
  <si>
    <t>QUISPE VALENZUELA CARLOS JHONATAN</t>
  </si>
  <si>
    <t>RECABARREN RIEGA ELVIS MANUEL</t>
  </si>
  <si>
    <t>RIVERA TEJADA GUSTAVO ADOLFO</t>
  </si>
  <si>
    <t>SABOYA TAFUR LLERLIN</t>
  </si>
  <si>
    <t>SIVINCHA ESCARCENA JUAN EDUARDO</t>
  </si>
  <si>
    <t>SOTO BASURCO GILMAR JAVIER</t>
  </si>
  <si>
    <t>TICONA PERALTA EDER RAUL MARTIN</t>
  </si>
  <si>
    <t>VALDIVIA VERA KELANY MELISSA</t>
  </si>
  <si>
    <t>VALENZUELA BEJARANO YEREMY RENE</t>
  </si>
  <si>
    <t>VALENZUELA PINTO RENE JUAN</t>
  </si>
  <si>
    <t>VARGAS SEVINCHA JHONY LUIS</t>
  </si>
  <si>
    <t>VASQUEZ MELGAR JUAN ORLANDO</t>
  </si>
  <si>
    <t>VEGA CARRASCO JUAN</t>
  </si>
  <si>
    <t>ZEVALLOS BALLON OMAR ELMO</t>
  </si>
  <si>
    <t>ZUÑIGA BASURCO EDUARDO ENRIQUE</t>
  </si>
  <si>
    <t>VELASQUEZ PANCA VILMA FORTUNATA</t>
  </si>
  <si>
    <t>CUEVAS CUTIMBO MAYERLI IDALIA</t>
  </si>
  <si>
    <t>ZEVALLOS TICONA JULLISA</t>
  </si>
  <si>
    <t>BALLON RIVERA JOE BRYAN</t>
  </si>
  <si>
    <t>QUISPE PILAR CARMEN</t>
  </si>
  <si>
    <t>TALAVERA ALBARRACIN ELMA TERESA</t>
  </si>
  <si>
    <t>MUÑAICO QUISPE ELIZABETH MILAGROS</t>
  </si>
  <si>
    <t>SANTANA ESCATE PATRICIA</t>
  </si>
  <si>
    <t>MOLINA CANAZA CLAUDIA ELIZABETH</t>
  </si>
  <si>
    <t>PARI PARRA MALU GRISEL</t>
  </si>
  <si>
    <t>SAMAYANI GUTIERREZ FRIDA VERENISSE</t>
  </si>
  <si>
    <t>VALDIVIA LARENAS SILVIA LORENA</t>
  </si>
  <si>
    <t>VALERIANO ARELA MELEYDA KATERIN</t>
  </si>
  <si>
    <t>VARGAS SEVINCHA MARISOL</t>
  </si>
  <si>
    <t>VERA VILLAVIENCIO KRISTEL JAHAYRA</t>
  </si>
  <si>
    <t>TRANSTOTAL</t>
  </si>
  <si>
    <t>TRANSMERIDAN</t>
  </si>
  <si>
    <t>CALL SHIPPING</t>
  </si>
  <si>
    <t>CITIKOLD</t>
  </si>
  <si>
    <t>CHOQUECONZA OROCHE DAVID</t>
  </si>
  <si>
    <t>AGENCIA MARITIMA B&amp;M SAC</t>
  </si>
  <si>
    <t>PASTOR TORRES,JESUS</t>
  </si>
  <si>
    <t>PORTUGAL BEJAR, ISABEL</t>
  </si>
  <si>
    <t>FLORES TINTAYA LUIS VICTOR</t>
  </si>
  <si>
    <t>LIMA APAZA JUAN MIGUEL</t>
  </si>
  <si>
    <t>PERALTA MAMANI JOSE CARLOS</t>
  </si>
  <si>
    <t>POLO RAMOS ALVARO EDDY</t>
  </si>
  <si>
    <t>MARTINEZ SOLIS NORMA ELENA</t>
  </si>
  <si>
    <t>LUQUE HERRERA ALYSSON BRIGITE</t>
  </si>
  <si>
    <t>MASIAS AGUILAR PEDRO</t>
  </si>
  <si>
    <t>QUISPE PÉREZ, FLOR</t>
  </si>
  <si>
    <t>NRO IMO</t>
  </si>
  <si>
    <t>Libre Plática (Según APN)</t>
  </si>
  <si>
    <t>Nombre de Línea Naviera</t>
  </si>
  <si>
    <t>Tipo de Tráfico (LINNER / TRAMP)</t>
  </si>
  <si>
    <t>Inicio de Operación (Estibadores a bordo de nave)</t>
  </si>
  <si>
    <t>Término de Operación (Retiro de estibadores de nave)</t>
  </si>
  <si>
    <t>RECALADA</t>
  </si>
  <si>
    <t>BUSTAMANTE, PAUL</t>
  </si>
  <si>
    <t>LUQUE  JESUS</t>
  </si>
  <si>
    <t>J&amp;R SERVICIOS</t>
  </si>
  <si>
    <t>COSMOS</t>
  </si>
  <si>
    <t>TPP</t>
  </si>
  <si>
    <t>TRASMERIDIAN</t>
  </si>
  <si>
    <t>ZUÑIGA BASURCO ROY</t>
  </si>
  <si>
    <t>VALENCIA MIGUEL</t>
  </si>
  <si>
    <t>ZARATE ERICKSON</t>
  </si>
  <si>
    <t>ESCOBEDO FELIX</t>
  </si>
  <si>
    <t>CHECA MILAGROS</t>
  </si>
  <si>
    <t>ANDIA ANTONY</t>
  </si>
  <si>
    <t>YANA ARBILDO OSCAR</t>
  </si>
  <si>
    <t>BALLON JHOSELIN</t>
  </si>
  <si>
    <t>FLORES STEVENS</t>
  </si>
  <si>
    <t>OPERADOR DE BARREDORA</t>
  </si>
  <si>
    <t>JOSE CACERES</t>
  </si>
  <si>
    <t>ISABEL PORTUGAL</t>
  </si>
  <si>
    <t>ELIZABETH CANAZA</t>
  </si>
  <si>
    <t>PRADO ALBITRES JOSE</t>
  </si>
  <si>
    <t>IAN TAYLOR</t>
  </si>
  <si>
    <t>HUERTA FEBRES JORGE</t>
  </si>
  <si>
    <t>BALLON  DENIS</t>
  </si>
  <si>
    <t xml:space="preserve">RIVERA </t>
  </si>
  <si>
    <t>MARROQUIN LLERENA OSCAR</t>
  </si>
  <si>
    <t>ZORRILLA PINTO DIEGO</t>
  </si>
  <si>
    <t>Tiempo Efectivo</t>
  </si>
  <si>
    <t>TM Agente Maritimo</t>
  </si>
  <si>
    <t>TM Agente Estiba</t>
  </si>
  <si>
    <t>Estibadores</t>
  </si>
  <si>
    <t>Agencia Aduana</t>
  </si>
  <si>
    <t>Esperando Desatraque</t>
  </si>
  <si>
    <t>Falta Camiones</t>
  </si>
  <si>
    <t>Lluvia</t>
  </si>
  <si>
    <t>Por Orden Capitan</t>
  </si>
  <si>
    <t>Esperando Atraque</t>
  </si>
  <si>
    <t>Total Tiempo Muerto</t>
  </si>
  <si>
    <t>Nave-Inicio Operación</t>
  </si>
  <si>
    <t>Nave-Termino operación</t>
  </si>
  <si>
    <t>Libre de platica (según APN)</t>
  </si>
  <si>
    <t>Atraque Planif</t>
  </si>
  <si>
    <t>Desatraque Planif.</t>
  </si>
  <si>
    <t>Inicio Planif.</t>
  </si>
  <si>
    <t>Termino Planif.</t>
  </si>
  <si>
    <t>Fecha Arribo</t>
  </si>
  <si>
    <t>Nro de Imo</t>
  </si>
  <si>
    <t>Nombre de Linea naviera</t>
  </si>
  <si>
    <t>Tipo de trafico (Linner / Tramp)</t>
  </si>
  <si>
    <t>Estibadores a bordo de nave</t>
  </si>
  <si>
    <t>Retiro de estibadores de nave</t>
  </si>
  <si>
    <t>Hora de Inicio de Carga</t>
  </si>
  <si>
    <t>Hora de Termino de Carga</t>
  </si>
  <si>
    <t>Atraque  Planificado en JJOO</t>
  </si>
  <si>
    <t>Inicio de op.  Planificado en JJOO</t>
  </si>
  <si>
    <t>Termino de op.  Planificado en JJOO</t>
  </si>
  <si>
    <t>Desatraque  Planificado en JJOO</t>
  </si>
  <si>
    <t>Hora Práctico desembarca nave después del atraque</t>
  </si>
  <si>
    <t>Hora Autorización Inicio Operaciones APN</t>
  </si>
  <si>
    <t>Hora Autorización Zarpe APN</t>
  </si>
  <si>
    <t>Agencia Marítima / Nave</t>
  </si>
  <si>
    <t>Empresa Practicaje</t>
  </si>
  <si>
    <t>Empresa Practicaje / Empresa Remolcaje</t>
  </si>
  <si>
    <t>Empresa Remolcaje</t>
  </si>
  <si>
    <t>Fuerza mayor</t>
  </si>
  <si>
    <t>Inspectora</t>
  </si>
  <si>
    <t>CERTIFICADO DE MANGAS EN MUELLE</t>
  </si>
  <si>
    <t>REVISION 14</t>
  </si>
  <si>
    <t>REVISIÓN-14</t>
  </si>
  <si>
    <t>REV-14</t>
  </si>
  <si>
    <t>AUTOBOMBA</t>
  </si>
  <si>
    <t>HIDRANTE HABILITADO Y OPERATIVO</t>
  </si>
  <si>
    <t>EPPs PERSONAL OPERATIVO</t>
  </si>
  <si>
    <t>PERSONAL MÉDICO EN MUELLE</t>
  </si>
  <si>
    <t>UNIDADES DE LUCHA CONTRA INCENDIOS ASIGNADAS EN ZONA DE DESCARGA</t>
  </si>
  <si>
    <t>KIT ANTIDERRAME</t>
  </si>
  <si>
    <t>Motivo de espera en Bahía</t>
  </si>
  <si>
    <t>Alistamiento de carga</t>
  </si>
  <si>
    <t>Espera de instrucciones</t>
  </si>
  <si>
    <t>Inspecciones fitosanitarias</t>
  </si>
  <si>
    <t>Apertura de muelle</t>
  </si>
  <si>
    <t>Alistamiento de bodegas</t>
  </si>
  <si>
    <t>Apertura de estación de prácticos</t>
  </si>
  <si>
    <t>Muelle disponible</t>
  </si>
  <si>
    <t>Otros</t>
  </si>
  <si>
    <t>En espera de muelle por eslora</t>
  </si>
  <si>
    <t>Secuencia de maniobras</t>
  </si>
  <si>
    <t>CONCENTRADO DE COBRE</t>
  </si>
  <si>
    <t>F</t>
  </si>
  <si>
    <t>SIN LINEA NAVIERA</t>
  </si>
  <si>
    <t>TRAMP</t>
  </si>
  <si>
    <t>BODEGA N°2</t>
  </si>
  <si>
    <t>BODEGA N°3</t>
  </si>
  <si>
    <t>BODEGA N°4</t>
  </si>
  <si>
    <t>BODEGA N°5</t>
  </si>
  <si>
    <t>CV32- NEB 1054</t>
  </si>
  <si>
    <t>BODEGA N°1</t>
  </si>
  <si>
    <t>NOCHE</t>
  </si>
  <si>
    <t>CONFERENCIA</t>
  </si>
  <si>
    <t>DIA</t>
  </si>
  <si>
    <t>DESPACHO DE NAVE</t>
  </si>
  <si>
    <t>LAS BAMBAS</t>
  </si>
  <si>
    <t>PANAMA</t>
  </si>
  <si>
    <t xml:space="preserve">EMBARQUE </t>
  </si>
  <si>
    <t xml:space="preserve">CORRIDA DE FAJAS EN VACIO / LIMPIEZA DE CHUTES </t>
  </si>
  <si>
    <t>A LA ESPERA DE PRACTICO</t>
  </si>
  <si>
    <t>SKY KNIGHT</t>
  </si>
  <si>
    <t>CHILE</t>
  </si>
  <si>
    <t>BAHIA</t>
  </si>
  <si>
    <t>AUTORIDADES ABORDO</t>
  </si>
  <si>
    <t>APERTURA E INSPECCION DE BODEGAS ( RETIRO DE CILINDROS EN BODEGA N° 4 )</t>
  </si>
  <si>
    <t>MANIOBRA  DE SEPARACION DE NAVE AL MUELLE  PARA POSICIONAR SHIPLOADER</t>
  </si>
  <si>
    <t>PRUEBA DE ENCLAVAMIENTO Y ESPERA DE CARGA</t>
  </si>
  <si>
    <t>EMBARQUE  - LOTE 25105</t>
  </si>
  <si>
    <t>EMBARQUE - LOTE 25106</t>
  </si>
  <si>
    <t>EMBARQUE - LOTE 25107</t>
  </si>
  <si>
    <t>EMBARQUE - LOTE 25108</t>
  </si>
  <si>
    <t>DETECTOR DE METALES FAJA # 18</t>
  </si>
  <si>
    <t>CAMBIO DE BODEGA DE LA 4 A LA 2</t>
  </si>
  <si>
    <t>AJUSTE DE CABOS</t>
  </si>
  <si>
    <t>EN ESPERA DE CARGA Y REINICIO DE EMBARQUE</t>
  </si>
  <si>
    <t>FALLA DE COMUNICACIÓN EN EL MANDO DEL SHIPLOADER</t>
  </si>
  <si>
    <t>PARADA POR METALES</t>
  </si>
  <si>
    <t>CAMBIO DE BODEGA DE LA 2 A LA 4</t>
  </si>
  <si>
    <t>CAMBIO DE BODEGA N° 5 A 3</t>
  </si>
  <si>
    <t>CAMBIO DE BODEGA N° 5 A 1</t>
  </si>
  <si>
    <t>CAMBIO DE BODEGA N° 4 A 5</t>
  </si>
  <si>
    <t>CAMBIO DE BODEGA N° 1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</si>
</sst>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0"/>
    <numFmt numFmtId="165" formatCode="hh:mm:ss;@"/>
    <numFmt numFmtId="166" formatCode="dd/mm/yyyy;@"/>
    <numFmt numFmtId="167" formatCode="[hh]:mm"/>
    <numFmt numFmtId="168" formatCode="hh:mm\ \-\ dd/mm/yyyy\ "/>
    <numFmt numFmtId="169" formatCode="00"/>
    <numFmt numFmtId="170" formatCode="0.000"/>
    <numFmt numFmtId="171" formatCode="[h]:mm"/>
  </numFmts>
  <fonts count="29" x14ac:knownFonts="1">
    <font>
      <sz val="10"/>
      <name val="Arial"/>
    </font>
    <font>
      <sz val="8"/>
      <name val="Arial"/>
      <family val="2"/>
    </font>
    <font>
      <sz val="9"/>
      <name val="Calibri"/>
      <family val="2"/>
    </font>
    <font>
      <sz val="9"/>
      <color indexed="9"/>
      <name val="Calibri"/>
      <family val="2"/>
    </font>
    <font>
      <sz val="8"/>
      <color indexed="81"/>
      <name val="Tahoma"/>
      <family val="2"/>
    </font>
    <font>
      <sz val="9"/>
      <color indexed="10"/>
      <name val="Calibri"/>
      <family val="2"/>
    </font>
    <font>
      <b/>
      <sz val="9"/>
      <name val="Calibri"/>
      <family val="2"/>
    </font>
    <font>
      <sz val="8"/>
      <color indexed="9"/>
      <name val="Calibri"/>
      <family val="2"/>
    </font>
    <font>
      <b/>
      <u/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9"/>
      <color rgb="FFFF0000"/>
      <name val="Calibri"/>
      <family val="2"/>
    </font>
    <font>
      <b/>
      <sz val="8"/>
      <color indexed="81"/>
      <name val="Tahoma"/>
      <family val="2"/>
    </font>
    <font>
      <sz val="9"/>
      <color theme="0"/>
      <name val="Calibri"/>
      <family val="2"/>
    </font>
    <font>
      <b/>
      <sz val="9"/>
      <color indexed="9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  <font>
      <b/>
      <i/>
      <sz val="8"/>
      <color rgb="FF000000"/>
      <name val="Calibri"/>
      <family val="2"/>
    </font>
    <font>
      <b/>
      <sz val="8"/>
      <color indexed="9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4"/>
      <color rgb="FFFF0000"/>
      <name val="Calibri"/>
      <family val="2"/>
    </font>
    <font>
      <sz val="8"/>
      <name val="Calibri"/>
      <family val="2"/>
      <scheme val="minor"/>
    </font>
    <font>
      <b/>
      <sz val="8"/>
      <name val="Calibri"/>
      <family val="2"/>
    </font>
    <font>
      <b/>
      <sz val="8"/>
      <name val="Calibri"/>
      <family val="2"/>
      <scheme val="minor"/>
    </font>
    <font>
      <b/>
      <sz val="8"/>
      <color theme="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0" fillId="0" borderId="0"/>
  </cellStyleXfs>
  <cellXfs count="423">
    <xf numFmtId="0" fontId="0" fillId="0" borderId="0" xfId="0"/>
    <xf numFmtId="0" fontId="3" fillId="4" borderId="1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/>
    <xf numFmtId="0" fontId="3" fillId="2" borderId="11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4" borderId="2" xfId="0" applyFont="1" applyFill="1" applyBorder="1"/>
    <xf numFmtId="0" fontId="3" fillId="0" borderId="0" xfId="0" applyFont="1"/>
    <xf numFmtId="0" fontId="8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14" fontId="9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0" fontId="1" fillId="0" borderId="0" xfId="0" applyFont="1"/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170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167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center"/>
    </xf>
    <xf numFmtId="164" fontId="2" fillId="0" borderId="0" xfId="0" applyNumberFormat="1" applyFont="1"/>
    <xf numFmtId="3" fontId="2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3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/>
    </xf>
    <xf numFmtId="169" fontId="2" fillId="0" borderId="4" xfId="0" applyNumberFormat="1" applyFont="1" applyBorder="1" applyAlignment="1">
      <alignment horizontal="center"/>
    </xf>
    <xf numFmtId="169" fontId="2" fillId="0" borderId="5" xfId="0" applyNumberFormat="1" applyFont="1" applyBorder="1" applyAlignment="1">
      <alignment horizontal="center"/>
    </xf>
    <xf numFmtId="169" fontId="2" fillId="0" borderId="11" xfId="0" applyNumberFormat="1" applyFont="1" applyBorder="1" applyAlignment="1">
      <alignment horizontal="center"/>
    </xf>
    <xf numFmtId="169" fontId="2" fillId="0" borderId="7" xfId="0" applyNumberFormat="1" applyFont="1" applyBorder="1" applyAlignment="1">
      <alignment horizontal="center"/>
    </xf>
    <xf numFmtId="169" fontId="2" fillId="0" borderId="0" xfId="0" applyNumberFormat="1" applyFont="1" applyAlignment="1">
      <alignment horizontal="center"/>
    </xf>
    <xf numFmtId="169" fontId="2" fillId="0" borderId="12" xfId="0" applyNumberFormat="1" applyFont="1" applyBorder="1" applyAlignment="1">
      <alignment horizontal="center"/>
    </xf>
    <xf numFmtId="169" fontId="2" fillId="0" borderId="9" xfId="0" applyNumberFormat="1" applyFont="1" applyBorder="1" applyAlignment="1">
      <alignment horizontal="center"/>
    </xf>
    <xf numFmtId="169" fontId="2" fillId="0" borderId="10" xfId="0" applyNumberFormat="1" applyFont="1" applyBorder="1" applyAlignment="1">
      <alignment horizontal="center"/>
    </xf>
    <xf numFmtId="169" fontId="2" fillId="0" borderId="13" xfId="0" applyNumberFormat="1" applyFont="1" applyBorder="1" applyAlignment="1">
      <alignment horizontal="center"/>
    </xf>
    <xf numFmtId="46" fontId="2" fillId="0" borderId="4" xfId="0" applyNumberFormat="1" applyFont="1" applyBorder="1"/>
    <xf numFmtId="164" fontId="2" fillId="0" borderId="11" xfId="0" applyNumberFormat="1" applyFont="1" applyBorder="1"/>
    <xf numFmtId="3" fontId="2" fillId="0" borderId="4" xfId="0" applyNumberFormat="1" applyFont="1" applyBorder="1"/>
    <xf numFmtId="3" fontId="2" fillId="0" borderId="3" xfId="0" applyNumberFormat="1" applyFont="1" applyBorder="1"/>
    <xf numFmtId="165" fontId="2" fillId="0" borderId="7" xfId="0" applyNumberFormat="1" applyFont="1" applyBorder="1"/>
    <xf numFmtId="4" fontId="2" fillId="0" borderId="12" xfId="0" applyNumberFormat="1" applyFont="1" applyBorder="1"/>
    <xf numFmtId="3" fontId="2" fillId="0" borderId="7" xfId="0" applyNumberFormat="1" applyFont="1" applyBorder="1" applyAlignment="1">
      <alignment horizontal="center"/>
    </xf>
    <xf numFmtId="3" fontId="2" fillId="0" borderId="6" xfId="0" applyNumberFormat="1" applyFont="1" applyBorder="1"/>
    <xf numFmtId="3" fontId="2" fillId="0" borderId="7" xfId="0" applyNumberFormat="1" applyFont="1" applyBorder="1"/>
    <xf numFmtId="165" fontId="2" fillId="0" borderId="9" xfId="0" applyNumberFormat="1" applyFont="1" applyBorder="1"/>
    <xf numFmtId="4" fontId="2" fillId="0" borderId="13" xfId="0" applyNumberFormat="1" applyFont="1" applyBorder="1"/>
    <xf numFmtId="3" fontId="2" fillId="0" borderId="9" xfId="0" applyNumberFormat="1" applyFont="1" applyBorder="1"/>
    <xf numFmtId="3" fontId="2" fillId="0" borderId="8" xfId="0" applyNumberFormat="1" applyFont="1" applyBorder="1"/>
    <xf numFmtId="0" fontId="2" fillId="2" borderId="2" xfId="0" applyFont="1" applyFill="1" applyBorder="1" applyAlignment="1">
      <alignment horizontal="center"/>
    </xf>
    <xf numFmtId="164" fontId="2" fillId="0" borderId="6" xfId="0" applyNumberFormat="1" applyFont="1" applyBorder="1" applyAlignment="1">
      <alignment horizontal="left"/>
    </xf>
    <xf numFmtId="164" fontId="2" fillId="0" borderId="12" xfId="0" applyNumberFormat="1" applyFont="1" applyBorder="1" applyAlignment="1">
      <alignment horizontal="left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left"/>
    </xf>
    <xf numFmtId="0" fontId="2" fillId="0" borderId="6" xfId="0" applyFont="1" applyBorder="1" applyAlignment="1">
      <alignment horizontal="left"/>
    </xf>
    <xf numFmtId="14" fontId="3" fillId="4" borderId="15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3" xfId="0" applyFont="1" applyBorder="1" applyAlignment="1">
      <alignment horizontal="center"/>
    </xf>
    <xf numFmtId="1" fontId="2" fillId="0" borderId="3" xfId="0" applyNumberFormat="1" applyFont="1" applyBorder="1"/>
    <xf numFmtId="1" fontId="2" fillId="0" borderId="5" xfId="0" applyNumberFormat="1" applyFont="1" applyBorder="1"/>
    <xf numFmtId="0" fontId="2" fillId="0" borderId="6" xfId="0" applyFont="1" applyBorder="1" applyAlignment="1">
      <alignment horizontal="center"/>
    </xf>
    <xf numFmtId="1" fontId="2" fillId="0" borderId="6" xfId="0" applyNumberFormat="1" applyFont="1" applyBorder="1"/>
    <xf numFmtId="1" fontId="2" fillId="0" borderId="0" xfId="0" applyNumberFormat="1" applyFont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" fontId="2" fillId="0" borderId="8" xfId="0" applyNumberFormat="1" applyFont="1" applyBorder="1"/>
    <xf numFmtId="1" fontId="2" fillId="0" borderId="10" xfId="0" applyNumberFormat="1" applyFont="1" applyBorder="1"/>
    <xf numFmtId="0" fontId="2" fillId="0" borderId="9" xfId="0" applyFont="1" applyBorder="1" applyAlignment="1">
      <alignment horizontal="center"/>
    </xf>
    <xf numFmtId="1" fontId="2" fillId="0" borderId="11" xfId="0" applyNumberFormat="1" applyFont="1" applyBorder="1"/>
    <xf numFmtId="1" fontId="2" fillId="0" borderId="12" xfId="0" applyNumberFormat="1" applyFont="1" applyBorder="1"/>
    <xf numFmtId="1" fontId="2" fillId="0" borderId="13" xfId="0" applyNumberFormat="1" applyFont="1" applyBorder="1"/>
    <xf numFmtId="0" fontId="5" fillId="0" borderId="0" xfId="0" applyFont="1"/>
    <xf numFmtId="20" fontId="2" fillId="0" borderId="0" xfId="0" applyNumberFormat="1" applyFont="1"/>
    <xf numFmtId="0" fontId="3" fillId="4" borderId="4" xfId="0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1" xfId="0" applyFont="1" applyBorder="1"/>
    <xf numFmtId="167" fontId="11" fillId="0" borderId="0" xfId="0" applyNumberFormat="1" applyFont="1"/>
    <xf numFmtId="168" fontId="2" fillId="0" borderId="0" xfId="0" applyNumberFormat="1" applyFont="1" applyAlignment="1">
      <alignment horizontal="left"/>
    </xf>
    <xf numFmtId="0" fontId="2" fillId="0" borderId="9" xfId="0" applyFont="1" applyBorder="1" applyAlignment="1">
      <alignment horizontal="left"/>
    </xf>
    <xf numFmtId="22" fontId="2" fillId="0" borderId="0" xfId="0" applyNumberFormat="1" applyFont="1"/>
    <xf numFmtId="0" fontId="3" fillId="0" borderId="0" xfId="0" applyFont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6" fillId="0" borderId="1" xfId="0" applyFont="1" applyBorder="1"/>
    <xf numFmtId="4" fontId="2" fillId="0" borderId="1" xfId="0" applyNumberFormat="1" applyFont="1" applyBorder="1"/>
    <xf numFmtId="0" fontId="2" fillId="0" borderId="4" xfId="0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66" fontId="2" fillId="0" borderId="6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13" fillId="9" borderId="4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center"/>
    </xf>
    <xf numFmtId="0" fontId="6" fillId="0" borderId="0" xfId="0" applyFont="1"/>
    <xf numFmtId="164" fontId="14" fillId="4" borderId="4" xfId="0" applyNumberFormat="1" applyFont="1" applyFill="1" applyBorder="1" applyAlignment="1">
      <alignment horizontal="center" vertical="center"/>
    </xf>
    <xf numFmtId="0" fontId="17" fillId="0" borderId="1" xfId="0" applyFont="1" applyBorder="1"/>
    <xf numFmtId="0" fontId="16" fillId="0" borderId="1" xfId="0" applyFont="1" applyBorder="1" applyAlignment="1">
      <alignment horizontal="left" vertical="center"/>
    </xf>
    <xf numFmtId="14" fontId="15" fillId="0" borderId="1" xfId="0" applyNumberFormat="1" applyFont="1" applyBorder="1" applyAlignment="1">
      <alignment horizontal="left" vertical="center"/>
    </xf>
    <xf numFmtId="0" fontId="18" fillId="10" borderId="1" xfId="0" applyFont="1" applyFill="1" applyBorder="1" applyAlignment="1">
      <alignment horizontal="left" vertical="center" wrapText="1"/>
    </xf>
    <xf numFmtId="169" fontId="2" fillId="7" borderId="0" xfId="0" applyNumberFormat="1" applyFont="1" applyFill="1" applyAlignment="1">
      <alignment horizontal="center"/>
    </xf>
    <xf numFmtId="49" fontId="3" fillId="7" borderId="0" xfId="0" applyNumberFormat="1" applyFont="1" applyFill="1" applyAlignment="1">
      <alignment horizontal="center"/>
    </xf>
    <xf numFmtId="164" fontId="2" fillId="7" borderId="3" xfId="0" applyNumberFormat="1" applyFont="1" applyFill="1" applyBorder="1" applyAlignment="1">
      <alignment horizontal="left"/>
    </xf>
    <xf numFmtId="164" fontId="2" fillId="7" borderId="6" xfId="0" applyNumberFormat="1" applyFont="1" applyFill="1" applyBorder="1" applyAlignment="1">
      <alignment horizontal="left"/>
    </xf>
    <xf numFmtId="164" fontId="2" fillId="7" borderId="8" xfId="0" applyNumberFormat="1" applyFont="1" applyFill="1" applyBorder="1" applyAlignment="1">
      <alignment horizontal="left"/>
    </xf>
    <xf numFmtId="3" fontId="2" fillId="7" borderId="4" xfId="0" applyNumberFormat="1" applyFont="1" applyFill="1" applyBorder="1" applyAlignment="1">
      <alignment horizontal="center" vertical="center"/>
    </xf>
    <xf numFmtId="3" fontId="2" fillId="7" borderId="7" xfId="0" applyNumberFormat="1" applyFont="1" applyFill="1" applyBorder="1" applyAlignment="1">
      <alignment horizontal="center" vertical="center"/>
    </xf>
    <xf numFmtId="3" fontId="2" fillId="7" borderId="9" xfId="0" applyNumberFormat="1" applyFont="1" applyFill="1" applyBorder="1" applyAlignment="1">
      <alignment horizontal="center" vertical="center"/>
    </xf>
    <xf numFmtId="164" fontId="19" fillId="4" borderId="4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164" fontId="17" fillId="0" borderId="0" xfId="0" applyNumberFormat="1" applyFont="1"/>
    <xf numFmtId="3" fontId="17" fillId="0" borderId="0" xfId="0" applyNumberFormat="1" applyFont="1"/>
    <xf numFmtId="0" fontId="17" fillId="0" borderId="0" xfId="0" applyFont="1"/>
    <xf numFmtId="49" fontId="7" fillId="4" borderId="1" xfId="0" applyNumberFormat="1" applyFont="1" applyFill="1" applyBorder="1" applyAlignment="1">
      <alignment horizontal="center"/>
    </xf>
    <xf numFmtId="164" fontId="19" fillId="4" borderId="1" xfId="0" applyNumberFormat="1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169" fontId="17" fillId="0" borderId="12" xfId="0" applyNumberFormat="1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169" fontId="17" fillId="0" borderId="13" xfId="0" applyNumberFormat="1" applyFont="1" applyBorder="1" applyAlignment="1">
      <alignment horizontal="center"/>
    </xf>
    <xf numFmtId="0" fontId="1" fillId="0" borderId="10" xfId="0" applyFont="1" applyBorder="1"/>
    <xf numFmtId="0" fontId="1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center"/>
    </xf>
    <xf numFmtId="0" fontId="2" fillId="8" borderId="3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164" fontId="2" fillId="2" borderId="10" xfId="0" applyNumberFormat="1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3" borderId="6" xfId="0" applyNumberFormat="1" applyFont="1" applyFill="1" applyBorder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8" borderId="6" xfId="0" applyNumberFormat="1" applyFont="1" applyFill="1" applyBorder="1" applyAlignment="1">
      <alignment horizontal="center"/>
    </xf>
    <xf numFmtId="164" fontId="2" fillId="3" borderId="8" xfId="0" applyNumberFormat="1" applyFont="1" applyFill="1" applyBorder="1" applyAlignment="1">
      <alignment horizontal="center"/>
    </xf>
    <xf numFmtId="164" fontId="2" fillId="3" borderId="10" xfId="0" applyNumberFormat="1" applyFont="1" applyFill="1" applyBorder="1" applyAlignment="1">
      <alignment horizontal="center"/>
    </xf>
    <xf numFmtId="164" fontId="2" fillId="3" borderId="9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3" fontId="2" fillId="0" borderId="13" xfId="0" applyNumberFormat="1" applyFont="1" applyBorder="1" applyAlignment="1">
      <alignment horizontal="center"/>
    </xf>
    <xf numFmtId="169" fontId="17" fillId="0" borderId="12" xfId="0" applyNumberFormat="1" applyFont="1" applyBorder="1" applyAlignment="1">
      <alignment horizontal="left"/>
    </xf>
    <xf numFmtId="169" fontId="2" fillId="7" borderId="0" xfId="0" applyNumberFormat="1" applyFont="1" applyFill="1" applyAlignment="1">
      <alignment horizontal="left"/>
    </xf>
    <xf numFmtId="164" fontId="2" fillId="0" borderId="4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20" fontId="2" fillId="0" borderId="5" xfId="0" applyNumberFormat="1" applyFont="1" applyBorder="1" applyAlignment="1">
      <alignment horizontal="center"/>
    </xf>
    <xf numFmtId="20" fontId="2" fillId="0" borderId="3" xfId="0" applyNumberFormat="1" applyFont="1" applyBorder="1" applyAlignment="1">
      <alignment horizontal="center"/>
    </xf>
    <xf numFmtId="20" fontId="2" fillId="0" borderId="7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20" fontId="2" fillId="0" borderId="0" xfId="0" applyNumberFormat="1" applyFont="1" applyAlignment="1">
      <alignment horizontal="center"/>
    </xf>
    <xf numFmtId="20" fontId="2" fillId="0" borderId="6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0" fontId="2" fillId="0" borderId="10" xfId="0" applyNumberFormat="1" applyFont="1" applyBorder="1" applyAlignment="1">
      <alignment horizontal="center"/>
    </xf>
    <xf numFmtId="20" fontId="2" fillId="0" borderId="8" xfId="0" applyNumberFormat="1" applyFont="1" applyBorder="1" applyAlignment="1">
      <alignment horizontal="center"/>
    </xf>
    <xf numFmtId="20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0" fontId="2" fillId="0" borderId="4" xfId="0" applyNumberFormat="1" applyFont="1" applyBorder="1" applyAlignment="1">
      <alignment horizontal="center"/>
    </xf>
    <xf numFmtId="1" fontId="9" fillId="0" borderId="0" xfId="0" applyNumberFormat="1" applyFont="1" applyAlignment="1">
      <alignment horizontal="centerContinuous"/>
    </xf>
    <xf numFmtId="0" fontId="0" fillId="11" borderId="1" xfId="0" applyFill="1" applyBorder="1"/>
    <xf numFmtId="0" fontId="10" fillId="11" borderId="1" xfId="0" applyFont="1" applyFill="1" applyBorder="1"/>
    <xf numFmtId="0" fontId="0" fillId="12" borderId="1" xfId="0" applyFill="1" applyBorder="1"/>
    <xf numFmtId="0" fontId="0" fillId="13" borderId="7" xfId="0" applyFill="1" applyBorder="1"/>
    <xf numFmtId="0" fontId="10" fillId="0" borderId="0" xfId="0" quotePrefix="1" applyFont="1"/>
    <xf numFmtId="46" fontId="10" fillId="0" borderId="0" xfId="0" quotePrefix="1" applyNumberFormat="1" applyFont="1"/>
    <xf numFmtId="46" fontId="0" fillId="0" borderId="0" xfId="0" applyNumberFormat="1"/>
    <xf numFmtId="22" fontId="10" fillId="0" borderId="0" xfId="0" quotePrefix="1" applyNumberFormat="1" applyFont="1"/>
    <xf numFmtId="3" fontId="10" fillId="0" borderId="0" xfId="0" quotePrefix="1" applyNumberFormat="1" applyFont="1"/>
    <xf numFmtId="0" fontId="22" fillId="0" borderId="0" xfId="0" applyFont="1" applyAlignment="1">
      <alignment horizontal="left" vertical="center" indent="4"/>
    </xf>
    <xf numFmtId="2" fontId="2" fillId="0" borderId="0" xfId="0" applyNumberFormat="1" applyFont="1" applyAlignment="1">
      <alignment horizontal="center"/>
    </xf>
    <xf numFmtId="167" fontId="2" fillId="15" borderId="0" xfId="0" applyNumberFormat="1" applyFont="1" applyFill="1"/>
    <xf numFmtId="2" fontId="2" fillId="16" borderId="1" xfId="0" applyNumberFormat="1" applyFont="1" applyFill="1" applyBorder="1" applyAlignment="1">
      <alignment horizontal="center"/>
    </xf>
    <xf numFmtId="2" fontId="2" fillId="16" borderId="0" xfId="0" applyNumberFormat="1" applyFont="1" applyFill="1"/>
    <xf numFmtId="20" fontId="2" fillId="0" borderId="12" xfId="0" applyNumberFormat="1" applyFont="1" applyBorder="1" applyAlignment="1">
      <alignment horizontal="center"/>
    </xf>
    <xf numFmtId="1" fontId="23" fillId="0" borderId="0" xfId="0" applyNumberFormat="1" applyFont="1" applyAlignment="1">
      <alignment vertical="center"/>
    </xf>
    <xf numFmtId="0" fontId="3" fillId="4" borderId="11" xfId="0" applyFont="1" applyFill="1" applyBorder="1"/>
    <xf numFmtId="20" fontId="2" fillId="7" borderId="7" xfId="0" applyNumberFormat="1" applyFont="1" applyFill="1" applyBorder="1" applyAlignment="1">
      <alignment horizontal="center"/>
    </xf>
    <xf numFmtId="20" fontId="23" fillId="0" borderId="7" xfId="0" applyNumberFormat="1" applyFont="1" applyBorder="1" applyAlignment="1">
      <alignment horizontal="center"/>
    </xf>
    <xf numFmtId="20" fontId="2" fillId="0" borderId="13" xfId="0" applyNumberFormat="1" applyFont="1" applyBorder="1" applyAlignment="1">
      <alignment horizontal="center"/>
    </xf>
    <xf numFmtId="0" fontId="2" fillId="6" borderId="3" xfId="0" applyFont="1" applyFill="1" applyBorder="1" applyAlignment="1">
      <alignment horizontal="left"/>
    </xf>
    <xf numFmtId="0" fontId="2" fillId="6" borderId="5" xfId="0" applyFont="1" applyFill="1" applyBorder="1" applyAlignment="1">
      <alignment horizontal="center"/>
    </xf>
    <xf numFmtId="164" fontId="2" fillId="6" borderId="5" xfId="0" applyNumberFormat="1" applyFont="1" applyFill="1" applyBorder="1"/>
    <xf numFmtId="3" fontId="2" fillId="6" borderId="5" xfId="0" applyNumberFormat="1" applyFont="1" applyFill="1" applyBorder="1"/>
    <xf numFmtId="3" fontId="2" fillId="6" borderId="11" xfId="0" applyNumberFormat="1" applyFont="1" applyFill="1" applyBorder="1"/>
    <xf numFmtId="0" fontId="2" fillId="6" borderId="0" xfId="0" applyFont="1" applyFill="1" applyAlignment="1">
      <alignment horizontal="left"/>
    </xf>
    <xf numFmtId="3" fontId="2" fillId="6" borderId="0" xfId="0" applyNumberFormat="1" applyFont="1" applyFill="1"/>
    <xf numFmtId="164" fontId="2" fillId="6" borderId="0" xfId="0" applyNumberFormat="1" applyFont="1" applyFill="1"/>
    <xf numFmtId="3" fontId="2" fillId="6" borderId="12" xfId="0" applyNumberFormat="1" applyFont="1" applyFill="1" applyBorder="1"/>
    <xf numFmtId="0" fontId="2" fillId="6" borderId="6" xfId="0" applyFont="1" applyFill="1" applyBorder="1" applyAlignment="1">
      <alignment horizontal="left"/>
    </xf>
    <xf numFmtId="0" fontId="21" fillId="6" borderId="6" xfId="0" applyFont="1" applyFill="1" applyBorder="1" applyAlignment="1">
      <alignment horizontal="left"/>
    </xf>
    <xf numFmtId="0" fontId="2" fillId="6" borderId="8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164" fontId="2" fillId="6" borderId="10" xfId="0" applyNumberFormat="1" applyFont="1" applyFill="1" applyBorder="1"/>
    <xf numFmtId="3" fontId="2" fillId="6" borderId="10" xfId="0" applyNumberFormat="1" applyFont="1" applyFill="1" applyBorder="1"/>
    <xf numFmtId="3" fontId="2" fillId="6" borderId="13" xfId="0" applyNumberFormat="1" applyFont="1" applyFill="1" applyBorder="1"/>
    <xf numFmtId="2" fontId="2" fillId="2" borderId="0" xfId="0" applyNumberFormat="1" applyFont="1" applyFill="1" applyAlignment="1">
      <alignment horizontal="center"/>
    </xf>
    <xf numFmtId="20" fontId="23" fillId="0" borderId="0" xfId="0" applyNumberFormat="1" applyFont="1" applyAlignment="1">
      <alignment horizontal="center"/>
    </xf>
    <xf numFmtId="20" fontId="23" fillId="0" borderId="10" xfId="0" applyNumberFormat="1" applyFont="1" applyBorder="1" applyAlignment="1">
      <alignment horizontal="center"/>
    </xf>
    <xf numFmtId="20" fontId="23" fillId="0" borderId="9" xfId="0" applyNumberFormat="1" applyFont="1" applyBorder="1" applyAlignment="1">
      <alignment horizontal="center"/>
    </xf>
    <xf numFmtId="1" fontId="23" fillId="0" borderId="10" xfId="0" applyNumberFormat="1" applyFont="1" applyBorder="1" applyAlignment="1">
      <alignment vertical="center"/>
    </xf>
    <xf numFmtId="171" fontId="25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 applyProtection="1">
      <alignment horizontal="center" vertical="center"/>
      <protection locked="0"/>
    </xf>
    <xf numFmtId="0" fontId="17" fillId="7" borderId="0" xfId="0" applyFont="1" applyFill="1" applyAlignment="1" applyProtection="1">
      <alignment horizontal="center" vertical="center"/>
      <protection locked="0"/>
    </xf>
    <xf numFmtId="0" fontId="2" fillId="7" borderId="0" xfId="0" applyFont="1" applyFill="1"/>
    <xf numFmtId="1" fontId="23" fillId="0" borderId="12" xfId="0" applyNumberFormat="1" applyFont="1" applyBorder="1" applyAlignment="1">
      <alignment vertical="center"/>
    </xf>
    <xf numFmtId="20" fontId="2" fillId="0" borderId="0" xfId="0" applyNumberFormat="1" applyFont="1" applyBorder="1" applyAlignment="1">
      <alignment horizontal="center"/>
    </xf>
    <xf numFmtId="1" fontId="23" fillId="0" borderId="0" xfId="0" applyNumberFormat="1" applyFont="1" applyBorder="1" applyAlignment="1">
      <alignment vertical="center"/>
    </xf>
    <xf numFmtId="0" fontId="2" fillId="7" borderId="0" xfId="0" applyFont="1" applyFill="1" applyBorder="1"/>
    <xf numFmtId="0" fontId="26" fillId="7" borderId="0" xfId="0" applyFont="1" applyFill="1" applyBorder="1" applyAlignment="1" applyProtection="1">
      <alignment horizontal="center" vertical="center"/>
      <protection locked="0"/>
    </xf>
    <xf numFmtId="0" fontId="28" fillId="7" borderId="0" xfId="0" applyFont="1" applyFill="1" applyBorder="1" applyAlignment="1" applyProtection="1">
      <alignment horizontal="center" vertical="center"/>
      <protection locked="0"/>
    </xf>
    <xf numFmtId="164" fontId="17" fillId="7" borderId="0" xfId="0" applyNumberFormat="1" applyFont="1" applyFill="1" applyBorder="1" applyAlignment="1" applyProtection="1">
      <alignment horizontal="center" vertical="center"/>
      <protection locked="0"/>
    </xf>
    <xf numFmtId="164" fontId="2" fillId="0" borderId="6" xfId="0" applyNumberFormat="1" applyFont="1" applyBorder="1" applyAlignment="1">
      <alignment horizontal="left"/>
    </xf>
    <xf numFmtId="164" fontId="2" fillId="0" borderId="12" xfId="0" applyNumberFormat="1" applyFont="1" applyBorder="1" applyAlignment="1">
      <alignment horizontal="left"/>
    </xf>
    <xf numFmtId="0" fontId="24" fillId="6" borderId="16" xfId="0" applyFont="1" applyFill="1" applyBorder="1" applyAlignment="1">
      <alignment horizontal="center"/>
    </xf>
    <xf numFmtId="0" fontId="24" fillId="6" borderId="0" xfId="0" applyFont="1" applyFill="1" applyAlignment="1">
      <alignment horizontal="center"/>
    </xf>
    <xf numFmtId="0" fontId="24" fillId="6" borderId="17" xfId="0" applyFont="1" applyFill="1" applyBorder="1" applyAlignment="1">
      <alignment horizontal="center"/>
    </xf>
    <xf numFmtId="14" fontId="3" fillId="7" borderId="0" xfId="0" applyNumberFormat="1" applyFont="1" applyFill="1" applyAlignment="1">
      <alignment horizontal="center" vertical="center"/>
    </xf>
    <xf numFmtId="14" fontId="3" fillId="7" borderId="10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left"/>
    </xf>
    <xf numFmtId="164" fontId="2" fillId="0" borderId="11" xfId="0" applyNumberFormat="1" applyFont="1" applyBorder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0" borderId="6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14" fontId="3" fillId="4" borderId="14" xfId="0" applyNumberFormat="1" applyFont="1" applyFill="1" applyBorder="1" applyAlignment="1">
      <alignment horizontal="center"/>
    </xf>
    <xf numFmtId="14" fontId="3" fillId="4" borderId="15" xfId="0" applyNumberFormat="1" applyFont="1" applyFill="1" applyBorder="1" applyAlignment="1">
      <alignment horizontal="center"/>
    </xf>
    <xf numFmtId="14" fontId="3" fillId="4" borderId="2" xfId="0" applyNumberFormat="1" applyFont="1" applyFill="1" applyBorder="1" applyAlignment="1">
      <alignment horizontal="center"/>
    </xf>
    <xf numFmtId="164" fontId="3" fillId="4" borderId="4" xfId="0" applyNumberFormat="1" applyFont="1" applyFill="1" applyBorder="1" applyAlignment="1">
      <alignment horizontal="center" vertical="center"/>
    </xf>
    <xf numFmtId="164" fontId="3" fillId="4" borderId="7" xfId="0" applyNumberFormat="1" applyFont="1" applyFill="1" applyBorder="1" applyAlignment="1">
      <alignment horizontal="center" vertical="center"/>
    </xf>
    <xf numFmtId="3" fontId="2" fillId="0" borderId="6" xfId="0" applyNumberFormat="1" applyFont="1" applyBorder="1" applyAlignment="1">
      <alignment horizontal="left"/>
    </xf>
    <xf numFmtId="3" fontId="2" fillId="0" borderId="0" xfId="0" applyNumberFormat="1" applyFont="1" applyAlignment="1">
      <alignment horizontal="left"/>
    </xf>
    <xf numFmtId="3" fontId="2" fillId="0" borderId="12" xfId="0" applyNumberFormat="1" applyFont="1" applyBorder="1" applyAlignment="1">
      <alignment horizontal="left"/>
    </xf>
    <xf numFmtId="14" fontId="3" fillId="7" borderId="0" xfId="0" applyNumberFormat="1" applyFont="1" applyFill="1" applyAlignment="1">
      <alignment horizontal="center"/>
    </xf>
    <xf numFmtId="14" fontId="3" fillId="4" borderId="3" xfId="0" applyNumberFormat="1" applyFont="1" applyFill="1" applyBorder="1" applyAlignment="1">
      <alignment horizontal="center" vertical="center"/>
    </xf>
    <xf numFmtId="14" fontId="3" fillId="4" borderId="11" xfId="0" applyNumberFormat="1" applyFont="1" applyFill="1" applyBorder="1" applyAlignment="1">
      <alignment horizontal="center" vertical="center"/>
    </xf>
    <xf numFmtId="14" fontId="3" fillId="4" borderId="8" xfId="0" applyNumberFormat="1" applyFont="1" applyFill="1" applyBorder="1" applyAlignment="1">
      <alignment horizontal="center" vertical="center"/>
    </xf>
    <xf numFmtId="14" fontId="3" fillId="4" borderId="13" xfId="0" applyNumberFormat="1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164" fontId="3" fillId="4" borderId="11" xfId="0" applyNumberFormat="1" applyFont="1" applyFill="1" applyBorder="1" applyAlignment="1">
      <alignment horizontal="center" vertical="center"/>
    </xf>
    <xf numFmtId="164" fontId="3" fillId="4" borderId="6" xfId="0" applyNumberFormat="1" applyFont="1" applyFill="1" applyBorder="1" applyAlignment="1">
      <alignment horizontal="center" vertical="center"/>
    </xf>
    <xf numFmtId="164" fontId="3" fillId="4" borderId="12" xfId="0" applyNumberFormat="1" applyFont="1" applyFill="1" applyBorder="1" applyAlignment="1">
      <alignment horizontal="center" vertical="center"/>
    </xf>
    <xf numFmtId="49" fontId="2" fillId="7" borderId="8" xfId="0" applyNumberFormat="1" applyFont="1" applyFill="1" applyBorder="1" applyAlignment="1">
      <alignment horizontal="center" vertical="center"/>
    </xf>
    <xf numFmtId="49" fontId="2" fillId="7" borderId="13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171" fontId="27" fillId="7" borderId="0" xfId="0" applyNumberFormat="1" applyFont="1" applyFill="1" applyAlignment="1">
      <alignment horizontal="center" vertical="center"/>
    </xf>
    <xf numFmtId="164" fontId="17" fillId="7" borderId="0" xfId="0" applyNumberFormat="1" applyFont="1" applyFill="1" applyAlignment="1" applyProtection="1">
      <alignment horizontal="center" vertical="center"/>
      <protection locked="0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8" fontId="2" fillId="0" borderId="15" xfId="0" applyNumberFormat="1" applyFont="1" applyBorder="1" applyAlignment="1">
      <alignment horizontal="left"/>
    </xf>
    <xf numFmtId="168" fontId="2" fillId="0" borderId="2" xfId="0" applyNumberFormat="1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168" fontId="2" fillId="0" borderId="14" xfId="0" applyNumberFormat="1" applyFont="1" applyBorder="1" applyAlignment="1">
      <alignment horizontal="left"/>
    </xf>
    <xf numFmtId="0" fontId="20" fillId="14" borderId="14" xfId="0" applyFont="1" applyFill="1" applyBorder="1" applyAlignment="1">
      <alignment horizontal="left" vertical="center"/>
    </xf>
    <xf numFmtId="0" fontId="20" fillId="14" borderId="2" xfId="0" applyFont="1" applyFill="1" applyBorder="1" applyAlignment="1">
      <alignment horizontal="left" vertical="center"/>
    </xf>
    <xf numFmtId="1" fontId="2" fillId="0" borderId="15" xfId="0" applyNumberFormat="1" applyFont="1" applyBorder="1" applyAlignment="1">
      <alignment horizontal="left"/>
    </xf>
    <xf numFmtId="1" fontId="2" fillId="0" borderId="2" xfId="0" applyNumberFormat="1" applyFont="1" applyBorder="1" applyAlignment="1">
      <alignment horizontal="left"/>
    </xf>
    <xf numFmtId="1" fontId="2" fillId="0" borderId="14" xfId="0" applyNumberFormat="1" applyFont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4" borderId="14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167" fontId="2" fillId="0" borderId="14" xfId="0" applyNumberFormat="1" applyFont="1" applyBorder="1" applyAlignment="1">
      <alignment horizontal="left"/>
    </xf>
    <xf numFmtId="167" fontId="2" fillId="0" borderId="15" xfId="0" applyNumberFormat="1" applyFont="1" applyBorder="1" applyAlignment="1">
      <alignment horizontal="left"/>
    </xf>
    <xf numFmtId="167" fontId="2" fillId="0" borderId="2" xfId="0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left"/>
    </xf>
    <xf numFmtId="2" fontId="2" fillId="0" borderId="15" xfId="0" applyNumberFormat="1" applyFont="1" applyBorder="1" applyAlignment="1">
      <alignment horizontal="left"/>
    </xf>
    <xf numFmtId="2" fontId="2" fillId="0" borderId="2" xfId="0" applyNumberFormat="1" applyFont="1" applyBorder="1" applyAlignment="1">
      <alignment horizontal="left"/>
    </xf>
    <xf numFmtId="0" fontId="7" fillId="4" borderId="14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167" fontId="2" fillId="0" borderId="1" xfId="0" applyNumberFormat="1" applyFont="1" applyBorder="1" applyAlignment="1">
      <alignment horizontal="left"/>
    </xf>
    <xf numFmtId="167" fontId="2" fillId="15" borderId="14" xfId="0" applyNumberFormat="1" applyFont="1" applyFill="1" applyBorder="1" applyAlignment="1">
      <alignment horizontal="left"/>
    </xf>
    <xf numFmtId="167" fontId="2" fillId="15" borderId="15" xfId="0" applyNumberFormat="1" applyFont="1" applyFill="1" applyBorder="1" applyAlignment="1">
      <alignment horizontal="left"/>
    </xf>
    <xf numFmtId="167" fontId="2" fillId="15" borderId="2" xfId="0" applyNumberFormat="1" applyFont="1" applyFill="1" applyBorder="1" applyAlignment="1">
      <alignment horizontal="left"/>
    </xf>
    <xf numFmtId="0" fontId="3" fillId="5" borderId="14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left"/>
    </xf>
    <xf numFmtId="0" fontId="2" fillId="6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1" fillId="6" borderId="6" xfId="0" applyFont="1" applyFill="1" applyBorder="1" applyAlignment="1">
      <alignment horizontal="left"/>
    </xf>
    <xf numFmtId="0" fontId="11" fillId="6" borderId="0" xfId="0" applyFont="1" applyFill="1" applyAlignment="1">
      <alignment horizontal="left"/>
    </xf>
    <xf numFmtId="0" fontId="6" fillId="6" borderId="6" xfId="0" applyFont="1" applyFill="1" applyBorder="1" applyAlignment="1">
      <alignment horizontal="left"/>
    </xf>
    <xf numFmtId="0" fontId="6" fillId="6" borderId="0" xfId="0" applyFont="1" applyFill="1" applyAlignment="1">
      <alignment horizontal="left"/>
    </xf>
    <xf numFmtId="14" fontId="7" fillId="4" borderId="3" xfId="0" applyNumberFormat="1" applyFont="1" applyFill="1" applyBorder="1" applyAlignment="1">
      <alignment horizontal="center" vertical="center"/>
    </xf>
    <xf numFmtId="14" fontId="7" fillId="4" borderId="5" xfId="0" applyNumberFormat="1" applyFont="1" applyFill="1" applyBorder="1" applyAlignment="1">
      <alignment horizontal="center" vertical="center"/>
    </xf>
    <xf numFmtId="164" fontId="3" fillId="4" borderId="14" xfId="0" applyNumberFormat="1" applyFont="1" applyFill="1" applyBorder="1" applyAlignment="1">
      <alignment horizontal="center"/>
    </xf>
    <xf numFmtId="164" fontId="3" fillId="4" borderId="15" xfId="0" applyNumberFormat="1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164" fontId="2" fillId="0" borderId="8" xfId="0" applyNumberFormat="1" applyFont="1" applyBorder="1" applyAlignment="1">
      <alignment horizontal="left"/>
    </xf>
    <xf numFmtId="164" fontId="2" fillId="0" borderId="10" xfId="0" applyNumberFormat="1" applyFont="1" applyBorder="1" applyAlignment="1">
      <alignment horizontal="left"/>
    </xf>
    <xf numFmtId="164" fontId="2" fillId="0" borderId="13" xfId="0" applyNumberFormat="1" applyFont="1" applyBorder="1" applyAlignment="1">
      <alignment horizontal="left"/>
    </xf>
    <xf numFmtId="0" fontId="2" fillId="2" borderId="1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3" fontId="2" fillId="0" borderId="8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49" fontId="3" fillId="4" borderId="5" xfId="0" applyNumberFormat="1" applyFont="1" applyFill="1" applyBorder="1" applyAlignment="1">
      <alignment horizontal="center"/>
    </xf>
    <xf numFmtId="49" fontId="3" fillId="4" borderId="11" xfId="0" applyNumberFormat="1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3" fontId="2" fillId="0" borderId="11" xfId="0" applyNumberFormat="1" applyFont="1" applyBorder="1" applyAlignment="1">
      <alignment horizontal="left"/>
    </xf>
    <xf numFmtId="164" fontId="7" fillId="4" borderId="4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9" xfId="0" applyNumberFormat="1" applyFont="1" applyFill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0" borderId="1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left"/>
    </xf>
    <xf numFmtId="0" fontId="2" fillId="2" borderId="1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7" borderId="6" xfId="0" applyNumberFormat="1" applyFont="1" applyFill="1" applyBorder="1" applyAlignment="1">
      <alignment horizontal="center" vertical="center"/>
    </xf>
    <xf numFmtId="49" fontId="2" fillId="7" borderId="12" xfId="0" applyNumberFormat="1" applyFont="1" applyFill="1" applyBorder="1" applyAlignment="1">
      <alignment horizontal="center" vertical="center"/>
    </xf>
    <xf numFmtId="14" fontId="3" fillId="7" borderId="5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1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Normal 4" xfId="1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9" defaultPivotStyle="PivotStyleLight16"/>
  <colors>
    <mruColors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28576</xdr:rowOff>
    </xdr:from>
    <xdr:to>
      <xdr:col>1</xdr:col>
      <xdr:colOff>1190625</xdr:colOff>
      <xdr:row>2</xdr:row>
      <xdr:rowOff>85726</xdr:rowOff>
    </xdr:to>
    <xdr:pic>
      <xdr:nvPicPr>
        <xdr:cNvPr id="2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28576"/>
          <a:ext cx="1238250" cy="3619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161925</xdr:colOff>
      <xdr:row>3</xdr:row>
      <xdr:rowOff>0</xdr:rowOff>
    </xdr:to>
    <xdr:pic>
      <xdr:nvPicPr>
        <xdr:cNvPr id="5127" name="Picture 1" descr="tisur">
          <a:extLst>
            <a:ext uri="{FF2B5EF4-FFF2-40B4-BE49-F238E27FC236}">
              <a16:creationId xmlns:a16="http://schemas.microsoft.com/office/drawing/2014/main" id="{00000000-0008-0000-0100-00000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3430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JC223"/>
  <sheetViews>
    <sheetView showGridLines="0" tabSelected="1" zoomScale="110" zoomScaleNormal="110" workbookViewId="0">
      <selection activeCell="C144" sqref="B70:C144"/>
    </sheetView>
  </sheetViews>
  <sheetFormatPr baseColWidth="10" defaultColWidth="11.42578125" defaultRowHeight="12" x14ac:dyDescent="0.2"/>
  <cols>
    <col min="1" max="1" width="0.85546875" style="3" customWidth="1"/>
    <col min="2" max="2" width="41.28515625" style="3" customWidth="1"/>
    <col min="3" max="3" width="18.140625" style="3" customWidth="1"/>
    <col min="4" max="4" width="11.140625" style="3" customWidth="1"/>
    <col min="5" max="5" width="10.42578125" style="3" customWidth="1"/>
    <col min="6" max="6" width="9.7109375" style="3" customWidth="1"/>
    <col min="7" max="7" width="11.5703125" style="3" customWidth="1"/>
    <col min="8" max="8" width="13.28515625" style="3" customWidth="1"/>
    <col min="9" max="9" width="9" style="3" bestFit="1" customWidth="1"/>
    <col min="10" max="10" width="12" style="3" customWidth="1"/>
    <col min="11" max="11" width="11.85546875" style="3" customWidth="1"/>
    <col min="12" max="12" width="11" style="3" customWidth="1"/>
    <col min="13" max="13" width="11.7109375" style="3" customWidth="1"/>
    <col min="14" max="14" width="9.7109375" style="3" customWidth="1"/>
    <col min="15" max="15" width="8" style="3" customWidth="1"/>
    <col min="16" max="16" width="9.7109375" style="3" hidden="1" customWidth="1"/>
    <col min="17" max="17" width="18.140625" style="3" hidden="1" customWidth="1"/>
    <col min="18" max="18" width="9.7109375" style="3" hidden="1" customWidth="1"/>
    <col min="19" max="19" width="5.7109375" style="3" hidden="1" customWidth="1"/>
    <col min="20" max="20" width="9.7109375" style="3" hidden="1" customWidth="1"/>
    <col min="21" max="21" width="20.42578125" style="3" hidden="1" customWidth="1"/>
    <col min="22" max="26" width="9.7109375" style="3" hidden="1" customWidth="1"/>
    <col min="27" max="27" width="10.140625" style="3" hidden="1" customWidth="1"/>
    <col min="28" max="28" width="9.7109375" style="3" hidden="1" customWidth="1"/>
    <col min="29" max="29" width="11" style="3" hidden="1" customWidth="1"/>
    <col min="30" max="30" width="9.7109375" style="3" hidden="1" customWidth="1"/>
    <col min="31" max="31" width="8" style="3" hidden="1" customWidth="1"/>
    <col min="32" max="32" width="9.7109375" style="3" customWidth="1"/>
    <col min="33" max="33" width="8" style="3" customWidth="1"/>
    <col min="34" max="240" width="11.42578125" style="3"/>
    <col min="241" max="241" width="49.140625" style="3" bestFit="1" customWidth="1"/>
    <col min="242" max="242" width="18.140625" style="3" bestFit="1" customWidth="1"/>
    <col min="243" max="243" width="17" style="3" customWidth="1"/>
    <col min="244" max="248" width="11.42578125" style="3"/>
    <col min="249" max="249" width="17.28515625" style="3" customWidth="1"/>
    <col min="250" max="251" width="11.42578125" style="3"/>
    <col min="252" max="252" width="18.28515625" style="3" customWidth="1"/>
    <col min="253" max="253" width="11.42578125" style="3"/>
    <col min="254" max="254" width="13.7109375" style="3" bestFit="1" customWidth="1"/>
    <col min="255" max="258" width="11.42578125" style="3"/>
    <col min="259" max="259" width="36.140625" style="3" customWidth="1"/>
    <col min="260" max="260" width="15.85546875" style="3" bestFit="1" customWidth="1"/>
    <col min="261" max="261" width="11.42578125" style="3"/>
    <col min="262" max="262" width="27.7109375" style="3" customWidth="1"/>
    <col min="263" max="16384" width="11.42578125" style="3"/>
  </cols>
  <sheetData>
    <row r="1" spans="2:263" x14ac:dyDescent="0.2">
      <c r="K1" s="97"/>
    </row>
    <row r="3" spans="2:263" x14ac:dyDescent="0.2">
      <c r="J3" s="98"/>
      <c r="IG3" s="121" t="s">
        <v>429</v>
      </c>
      <c r="IH3" s="121" t="s">
        <v>181</v>
      </c>
      <c r="II3" s="121" t="s">
        <v>182</v>
      </c>
      <c r="IJ3" s="121" t="s">
        <v>180</v>
      </c>
      <c r="IM3" s="121" t="s">
        <v>174</v>
      </c>
      <c r="IO3" s="121" t="s">
        <v>176</v>
      </c>
      <c r="IR3" s="121" t="s">
        <v>183</v>
      </c>
      <c r="IS3" s="121" t="s">
        <v>175</v>
      </c>
      <c r="IU3" s="121" t="s">
        <v>184</v>
      </c>
      <c r="IW3" s="121" t="s">
        <v>185</v>
      </c>
      <c r="IY3" s="125">
        <v>42551</v>
      </c>
      <c r="IZ3" s="124"/>
    </row>
    <row r="4" spans="2:263" ht="15" x14ac:dyDescent="0.2">
      <c r="B4" s="3" t="s">
        <v>22</v>
      </c>
      <c r="H4" s="1" t="s">
        <v>166</v>
      </c>
      <c r="I4" s="161">
        <f>C10-C9</f>
        <v>5.2923611111109494</v>
      </c>
      <c r="J4" s="32"/>
      <c r="N4" s="82" t="s">
        <v>421</v>
      </c>
      <c r="R4" s="82"/>
      <c r="S4" s="82"/>
      <c r="T4" s="82"/>
      <c r="U4" s="82"/>
      <c r="V4" s="82"/>
      <c r="W4" s="82"/>
      <c r="X4" s="82"/>
      <c r="Y4" s="82"/>
      <c r="Z4" s="82"/>
      <c r="IG4" s="224" t="s">
        <v>430</v>
      </c>
      <c r="IH4" s="3" t="s">
        <v>215</v>
      </c>
      <c r="II4" s="3" t="s">
        <v>221</v>
      </c>
      <c r="IJ4" s="3" t="s">
        <v>167</v>
      </c>
      <c r="IL4" s="3" t="s">
        <v>263</v>
      </c>
      <c r="IM4" s="3" t="s">
        <v>118</v>
      </c>
      <c r="IO4" s="3" t="s">
        <v>106</v>
      </c>
      <c r="IR4" s="3" t="s">
        <v>239</v>
      </c>
      <c r="IS4" s="3" t="s">
        <v>248</v>
      </c>
      <c r="IU4" s="3" t="s">
        <v>148</v>
      </c>
      <c r="IW4" s="3" t="s">
        <v>253</v>
      </c>
      <c r="IY4" s="126" t="s">
        <v>188</v>
      </c>
      <c r="IZ4" s="126" t="s">
        <v>191</v>
      </c>
    </row>
    <row r="5" spans="2:263" ht="15" x14ac:dyDescent="0.2">
      <c r="B5" s="331" t="s">
        <v>15</v>
      </c>
      <c r="C5" s="332"/>
      <c r="D5" s="328" t="s">
        <v>459</v>
      </c>
      <c r="E5" s="329"/>
      <c r="F5" s="330"/>
      <c r="H5" s="1" t="s">
        <v>88</v>
      </c>
      <c r="I5" s="161">
        <f>C11-C10</f>
        <v>0.22152777777955635</v>
      </c>
      <c r="J5" s="32"/>
      <c r="L5" s="308" t="s">
        <v>7</v>
      </c>
      <c r="M5" s="309"/>
      <c r="N5" s="310"/>
      <c r="P5" s="308" t="s">
        <v>129</v>
      </c>
      <c r="Q5" s="309"/>
      <c r="R5" s="310"/>
      <c r="S5" s="29"/>
      <c r="T5" s="99" t="s">
        <v>82</v>
      </c>
      <c r="U5" s="81" t="s">
        <v>83</v>
      </c>
      <c r="V5" s="99" t="s">
        <v>12</v>
      </c>
      <c r="W5" s="99" t="s">
        <v>84</v>
      </c>
      <c r="X5" s="29"/>
      <c r="Y5" s="29"/>
      <c r="Z5" s="29"/>
      <c r="IG5" s="224" t="s">
        <v>433</v>
      </c>
      <c r="IH5" s="3" t="s">
        <v>216</v>
      </c>
      <c r="II5" s="3" t="s">
        <v>222</v>
      </c>
      <c r="IJ5" s="3" t="s">
        <v>168</v>
      </c>
      <c r="IL5" s="3" t="s">
        <v>264</v>
      </c>
      <c r="IM5" s="3" t="s">
        <v>225</v>
      </c>
      <c r="IO5" s="3" t="s">
        <v>107</v>
      </c>
      <c r="IR5" s="3" t="s">
        <v>331</v>
      </c>
      <c r="IS5" s="3" t="s">
        <v>231</v>
      </c>
      <c r="IU5" s="3" t="s">
        <v>91</v>
      </c>
      <c r="IW5" s="3" t="s">
        <v>254</v>
      </c>
      <c r="IY5" s="101" t="s">
        <v>197</v>
      </c>
      <c r="IZ5" s="101" t="s">
        <v>209</v>
      </c>
      <c r="JB5" s="123" t="s">
        <v>208</v>
      </c>
      <c r="JC5" s="123" t="s">
        <v>210</v>
      </c>
    </row>
    <row r="6" spans="2:263" ht="15" x14ac:dyDescent="0.2">
      <c r="B6" s="318" t="s">
        <v>16</v>
      </c>
      <c r="C6" s="318"/>
      <c r="D6" s="342">
        <v>10841</v>
      </c>
      <c r="E6" s="342"/>
      <c r="F6" s="342"/>
      <c r="H6" s="1" t="s">
        <v>89</v>
      </c>
      <c r="I6" s="161">
        <f>IF(C13="",0,C13-C12)</f>
        <v>7.9166666662786156E-2</v>
      </c>
      <c r="L6" s="302" t="s">
        <v>19</v>
      </c>
      <c r="M6" s="303"/>
      <c r="N6" s="80" t="s">
        <v>21</v>
      </c>
      <c r="P6" s="367" t="s">
        <v>19</v>
      </c>
      <c r="Q6" s="368"/>
      <c r="R6" s="80" t="s">
        <v>21</v>
      </c>
      <c r="S6" s="30"/>
      <c r="T6" s="44" t="str">
        <f>IF($D$46="","",$D$46)</f>
        <v>BODEGA N°1</v>
      </c>
      <c r="U6" s="42" t="str">
        <f>IF($D$47="","",$D$47)</f>
        <v>EMBARQUE  - LOTE 25105</v>
      </c>
      <c r="V6" s="196">
        <f>$D$103</f>
        <v>2095.689523809524</v>
      </c>
      <c r="W6" s="197">
        <f>$E$103</f>
        <v>0</v>
      </c>
      <c r="X6" s="30"/>
      <c r="Y6" s="30"/>
      <c r="Z6" s="30"/>
      <c r="IG6" s="224" t="s">
        <v>431</v>
      </c>
      <c r="IH6" s="3" t="s">
        <v>217</v>
      </c>
      <c r="II6" s="3" t="s">
        <v>223</v>
      </c>
      <c r="IJ6" s="3" t="s">
        <v>169</v>
      </c>
      <c r="IL6" s="3" t="s">
        <v>265</v>
      </c>
      <c r="IM6" s="3" t="s">
        <v>226</v>
      </c>
      <c r="IO6" s="3" t="s">
        <v>108</v>
      </c>
      <c r="IR6" s="3" t="s">
        <v>240</v>
      </c>
      <c r="IS6" s="3" t="s">
        <v>249</v>
      </c>
      <c r="IU6" s="3" t="s">
        <v>252</v>
      </c>
      <c r="IY6" s="149" t="s">
        <v>193</v>
      </c>
      <c r="IZ6" s="101" t="s">
        <v>196</v>
      </c>
      <c r="JB6" s="123" t="s">
        <v>202</v>
      </c>
      <c r="JC6" s="123" t="s">
        <v>210</v>
      </c>
    </row>
    <row r="7" spans="2:263" ht="15" x14ac:dyDescent="0.2">
      <c r="B7" s="331" t="s">
        <v>58</v>
      </c>
      <c r="C7" s="332"/>
      <c r="D7" s="313"/>
      <c r="E7" s="314"/>
      <c r="F7" s="315"/>
      <c r="H7" s="1" t="s">
        <v>100</v>
      </c>
      <c r="I7" s="161">
        <f>C12-C11</f>
        <v>1.1944444444452529</v>
      </c>
      <c r="J7" s="32"/>
      <c r="L7" s="341" t="s">
        <v>14</v>
      </c>
      <c r="M7" s="326"/>
      <c r="N7" s="161">
        <f>SUMIF('Serv. no Conf. - Horas Muertas'!$N$18:$N$66,"TISUR",'Serv. no Conf. - Horas Muertas'!$F$18:$F$66)</f>
        <v>5.5555555555555552E-2</v>
      </c>
      <c r="P7" s="320" t="s">
        <v>413</v>
      </c>
      <c r="Q7" s="321"/>
      <c r="R7" s="161">
        <f>SUMIF('Serv. no Conf. - Horas Muertas'!$O$72:$O$225,P7,'Serv. no Conf. - Horas Muertas'!$F$72:$F$225)</f>
        <v>0</v>
      </c>
      <c r="S7" s="32"/>
      <c r="T7" s="89" t="str">
        <f>IF($F$46="","",$F$46)</f>
        <v>BODEGA N°2</v>
      </c>
      <c r="U7" s="100" t="str">
        <f>IF($F$47="","",$F$47)</f>
        <v>EMBARQUE - LOTE 25106</v>
      </c>
      <c r="V7" s="198">
        <f>$F$103</f>
        <v>2029.7121771217714</v>
      </c>
      <c r="W7" s="160">
        <f>$G$103</f>
        <v>0</v>
      </c>
      <c r="X7" s="32"/>
      <c r="Y7" s="32"/>
      <c r="Z7" s="32"/>
      <c r="IG7" s="224" t="s">
        <v>438</v>
      </c>
      <c r="IH7" s="3" t="s">
        <v>218</v>
      </c>
      <c r="II7" s="3" t="s">
        <v>224</v>
      </c>
      <c r="IJ7" s="3" t="s">
        <v>171</v>
      </c>
      <c r="IL7" s="3" t="s">
        <v>266</v>
      </c>
      <c r="IM7" s="3" t="s">
        <v>227</v>
      </c>
      <c r="IO7" s="3" t="s">
        <v>109</v>
      </c>
      <c r="IR7" s="3" t="s">
        <v>241</v>
      </c>
      <c r="IS7" s="3" t="s">
        <v>250</v>
      </c>
      <c r="IY7" s="149" t="s">
        <v>198</v>
      </c>
      <c r="IZ7" s="149" t="s">
        <v>211</v>
      </c>
      <c r="JB7" s="123" t="s">
        <v>354</v>
      </c>
      <c r="JC7" s="123" t="s">
        <v>210</v>
      </c>
    </row>
    <row r="8" spans="2:263" ht="15" x14ac:dyDescent="0.2">
      <c r="I8" s="34"/>
      <c r="L8" s="341" t="s">
        <v>17</v>
      </c>
      <c r="M8" s="326"/>
      <c r="N8" s="161">
        <f>SUMIF('Serv. no Conf. - Horas Muertas'!$N$18:$N$66,"NAVIERO",'Serv. no Conf. - Horas Muertas'!$F$18:$F$66)</f>
        <v>0.18680555555555553</v>
      </c>
      <c r="P8" s="320" t="s">
        <v>20</v>
      </c>
      <c r="Q8" s="321"/>
      <c r="R8" s="161">
        <f>SUMIF('Serv. no Conf. - Horas Muertas'!$O$72:$O$225,P8,'Serv. no Conf. - Horas Muertas'!$F$72:$F$225)</f>
        <v>0</v>
      </c>
      <c r="S8" s="32"/>
      <c r="T8" s="89" t="str">
        <f>IF($H$46="","",$H$46)</f>
        <v>BODEGA N°3</v>
      </c>
      <c r="U8" s="100" t="str">
        <f>IF($H$47="","",$H$47)</f>
        <v xml:space="preserve">EMBARQUE </v>
      </c>
      <c r="V8" s="198">
        <f>$H$103</f>
        <v>0</v>
      </c>
      <c r="W8" s="160">
        <f>$I$103</f>
        <v>0</v>
      </c>
      <c r="X8" s="32"/>
      <c r="Y8" s="32"/>
      <c r="Z8" s="32"/>
      <c r="IG8" s="224" t="s">
        <v>432</v>
      </c>
      <c r="IH8" s="3" t="s">
        <v>219</v>
      </c>
      <c r="IJ8" s="3" t="s">
        <v>172</v>
      </c>
      <c r="IL8" s="3" t="s">
        <v>267</v>
      </c>
      <c r="IM8" s="3" t="s">
        <v>228</v>
      </c>
      <c r="IO8" s="3" t="s">
        <v>110</v>
      </c>
      <c r="IR8" s="3" t="s">
        <v>242</v>
      </c>
      <c r="IS8" s="3" t="s">
        <v>251</v>
      </c>
      <c r="IY8" s="149" t="s">
        <v>287</v>
      </c>
      <c r="IZ8" s="149" t="s">
        <v>192</v>
      </c>
      <c r="JB8" s="123" t="s">
        <v>204</v>
      </c>
      <c r="JC8" s="123" t="s">
        <v>210</v>
      </c>
    </row>
    <row r="9" spans="2:263" ht="12.75" customHeight="1" x14ac:dyDescent="0.2">
      <c r="B9" s="1" t="s">
        <v>165</v>
      </c>
      <c r="C9" s="316">
        <v>45933.4375</v>
      </c>
      <c r="D9" s="317"/>
      <c r="F9" s="318" t="s">
        <v>23</v>
      </c>
      <c r="G9" s="318"/>
      <c r="H9" s="327" t="s">
        <v>455</v>
      </c>
      <c r="I9" s="327"/>
      <c r="J9" s="327"/>
      <c r="K9" s="38"/>
      <c r="L9" s="325" t="s">
        <v>18</v>
      </c>
      <c r="M9" s="326"/>
      <c r="N9" s="161">
        <f>SUMIF('Serv. no Conf. - Horas Muertas'!$N$18:$N$66,"ESTIBA",'Serv. no Conf. - Horas Muertas'!$F$18:$F$66)</f>
        <v>0.18055555555555544</v>
      </c>
      <c r="P9" s="320" t="s">
        <v>414</v>
      </c>
      <c r="Q9" s="321"/>
      <c r="R9" s="161">
        <f>SUMIF('Serv. no Conf. - Horas Muertas'!$O$72:$O$225,P9,'Serv. no Conf. - Horas Muertas'!$F$72:$F$225)</f>
        <v>0</v>
      </c>
      <c r="S9" s="32"/>
      <c r="T9" s="89" t="str">
        <f>IF($J$46="","",$J$46)</f>
        <v>BODEGA N°4</v>
      </c>
      <c r="U9" s="100" t="str">
        <f>IF($J$47="","",$J$47)</f>
        <v>EMBARQUE - LOTE 25107</v>
      </c>
      <c r="V9" s="198">
        <f>$J$103</f>
        <v>2060.0262172284647</v>
      </c>
      <c r="W9" s="160">
        <f>$K$103</f>
        <v>0</v>
      </c>
      <c r="X9" s="32"/>
      <c r="Y9" s="32"/>
      <c r="Z9" s="32"/>
      <c r="IG9" s="224" t="s">
        <v>434</v>
      </c>
      <c r="IH9" s="3" t="s">
        <v>220</v>
      </c>
      <c r="IJ9" s="3" t="s">
        <v>370</v>
      </c>
      <c r="IL9" s="3" t="s">
        <v>268</v>
      </c>
      <c r="IM9" s="3" t="s">
        <v>229</v>
      </c>
      <c r="IO9" s="3" t="s">
        <v>111</v>
      </c>
      <c r="IR9" s="3" t="s">
        <v>243</v>
      </c>
      <c r="IY9" s="149" t="s">
        <v>365</v>
      </c>
      <c r="IZ9" s="149" t="s">
        <v>196</v>
      </c>
      <c r="JB9" s="123" t="s">
        <v>205</v>
      </c>
      <c r="JC9" s="123" t="s">
        <v>210</v>
      </c>
    </row>
    <row r="10" spans="2:263" ht="12.75" customHeight="1" x14ac:dyDescent="0.2">
      <c r="B10" s="1" t="s">
        <v>1</v>
      </c>
      <c r="C10" s="319">
        <v>45938.729861111111</v>
      </c>
      <c r="D10" s="317"/>
      <c r="F10" s="318" t="s">
        <v>24</v>
      </c>
      <c r="G10" s="318"/>
      <c r="H10" s="327" t="s">
        <v>460</v>
      </c>
      <c r="I10" s="327"/>
      <c r="J10" s="327"/>
      <c r="K10" s="38"/>
      <c r="L10" s="325" t="s">
        <v>20</v>
      </c>
      <c r="M10" s="326"/>
      <c r="N10" s="161">
        <f>SUMIF('Serv. no Conf. - Horas Muertas'!$N$18:$N$66,"CLIENTE",'Serv. no Conf. - Horas Muertas'!$F$18:$F$66)</f>
        <v>0.14791666666666659</v>
      </c>
      <c r="P10" s="320" t="s">
        <v>415</v>
      </c>
      <c r="Q10" s="321"/>
      <c r="R10" s="161">
        <f>SUMIF('Serv. no Conf. - Horas Muertas'!$O$72:$O$225,P10,'Serv. no Conf. - Horas Muertas'!$F$72:$F$225)</f>
        <v>0</v>
      </c>
      <c r="S10" s="32"/>
      <c r="T10" s="89" t="str">
        <f>IF($L$46="","",$L$46)</f>
        <v>BODEGA N°5</v>
      </c>
      <c r="U10" s="100" t="str">
        <f>IF($L$47="","",$L$47)</f>
        <v>EMBARQUE - LOTE 25108</v>
      </c>
      <c r="V10" s="198">
        <f>$L$103</f>
        <v>2200.2179999999998</v>
      </c>
      <c r="W10" s="160">
        <f>$M$103</f>
        <v>0</v>
      </c>
      <c r="X10" s="32"/>
      <c r="Y10" s="32"/>
      <c r="Z10" s="32"/>
      <c r="IG10" s="224" t="s">
        <v>435</v>
      </c>
      <c r="IJ10" s="3" t="s">
        <v>371</v>
      </c>
      <c r="IL10" s="3" t="s">
        <v>258</v>
      </c>
      <c r="IM10" s="3" t="s">
        <v>230</v>
      </c>
      <c r="IO10" s="3" t="s">
        <v>112</v>
      </c>
      <c r="IR10" s="3" t="s">
        <v>244</v>
      </c>
      <c r="IY10" s="149" t="s">
        <v>288</v>
      </c>
      <c r="IZ10" s="149" t="s">
        <v>192</v>
      </c>
      <c r="JB10" s="123" t="s">
        <v>206</v>
      </c>
      <c r="JC10" s="123" t="s">
        <v>210</v>
      </c>
    </row>
    <row r="11" spans="2:263" ht="12.75" customHeight="1" x14ac:dyDescent="0.2">
      <c r="B11" s="1" t="s">
        <v>404</v>
      </c>
      <c r="C11" s="319">
        <v>45938.951388888891</v>
      </c>
      <c r="D11" s="317"/>
      <c r="F11" s="318" t="s">
        <v>25</v>
      </c>
      <c r="G11" s="318"/>
      <c r="H11" s="327" t="s">
        <v>461</v>
      </c>
      <c r="I11" s="327"/>
      <c r="J11" s="327"/>
      <c r="K11" s="38"/>
      <c r="L11" s="325" t="s">
        <v>131</v>
      </c>
      <c r="M11" s="326"/>
      <c r="N11" s="161">
        <f>SUMIF('Serv. no Conf. - Horas Muertas'!$N$18:$N$66,"REFRIGERIO",'Serv. no Conf. - Horas Muertas'!$F$18:$F$66)</f>
        <v>0</v>
      </c>
      <c r="P11" s="320" t="s">
        <v>416</v>
      </c>
      <c r="Q11" s="321"/>
      <c r="R11" s="161">
        <f>SUMIF('Serv. no Conf. - Horas Muertas'!$O$72:$O$225,P11,'Serv. no Conf. - Horas Muertas'!$F$72:$F$225)</f>
        <v>0</v>
      </c>
      <c r="S11" s="32"/>
      <c r="T11" s="89" t="str">
        <f>IF($N$46="","",$N$46)</f>
        <v/>
      </c>
      <c r="U11" s="100" t="str">
        <f>IF($N$47="","",$N$47)</f>
        <v/>
      </c>
      <c r="V11" s="198">
        <f>$N$103</f>
        <v>0</v>
      </c>
      <c r="W11" s="160">
        <f>$O$103</f>
        <v>0</v>
      </c>
      <c r="X11" s="32"/>
      <c r="Y11" s="32"/>
      <c r="Z11" s="32"/>
      <c r="IG11" s="224" t="s">
        <v>436</v>
      </c>
      <c r="IJ11" s="3" t="s">
        <v>372</v>
      </c>
      <c r="IL11" s="3" t="s">
        <v>259</v>
      </c>
      <c r="IM11" s="3" t="s">
        <v>231</v>
      </c>
      <c r="IO11" s="3" t="s">
        <v>113</v>
      </c>
      <c r="IR11" s="3" t="s">
        <v>245</v>
      </c>
      <c r="IY11" s="101" t="s">
        <v>289</v>
      </c>
      <c r="IZ11" s="101" t="s">
        <v>192</v>
      </c>
      <c r="JB11" s="123" t="s">
        <v>280</v>
      </c>
      <c r="JC11" s="123" t="s">
        <v>210</v>
      </c>
    </row>
    <row r="12" spans="2:263" ht="12.75" customHeight="1" x14ac:dyDescent="0.2">
      <c r="B12" s="1" t="s">
        <v>405</v>
      </c>
      <c r="C12" s="319">
        <v>45940.145833333336</v>
      </c>
      <c r="D12" s="317"/>
      <c r="F12" s="318" t="s">
        <v>26</v>
      </c>
      <c r="G12" s="318"/>
      <c r="H12" s="327" t="s">
        <v>441</v>
      </c>
      <c r="I12" s="327"/>
      <c r="J12" s="327"/>
      <c r="K12" s="38"/>
      <c r="L12" s="325" t="s">
        <v>132</v>
      </c>
      <c r="M12" s="326"/>
      <c r="N12" s="161">
        <f>SUMIF('Serv. no Conf. - Horas Muertas'!$N$18:$N$66,"FUERZA MAYOR",'Serv. no Conf. - Horas Muertas'!$F$18:$F$66)</f>
        <v>0</v>
      </c>
      <c r="P12" s="320" t="s">
        <v>417</v>
      </c>
      <c r="Q12" s="321"/>
      <c r="R12" s="161">
        <f>SUMIF('Serv. no Conf. - Horas Muertas'!$O$72:$O$225,P12,'Serv. no Conf. - Horas Muertas'!$F$72:$F$225)</f>
        <v>0</v>
      </c>
      <c r="S12" s="32"/>
      <c r="T12" s="89" t="str">
        <f>IF($P$46="","",$P$46)</f>
        <v/>
      </c>
      <c r="U12" s="100" t="str">
        <f>IF($P$47="","",$P$47)</f>
        <v/>
      </c>
      <c r="V12" s="198">
        <f>$P$103</f>
        <v>0</v>
      </c>
      <c r="W12" s="160">
        <f>$Q$103</f>
        <v>0</v>
      </c>
      <c r="X12" s="32"/>
      <c r="Y12" s="32"/>
      <c r="Z12" s="32"/>
      <c r="IG12" s="224" t="s">
        <v>439</v>
      </c>
      <c r="IL12" s="3" t="s">
        <v>269</v>
      </c>
      <c r="IM12" s="3" t="s">
        <v>232</v>
      </c>
      <c r="IO12" s="3" t="s">
        <v>114</v>
      </c>
      <c r="IR12" s="3" t="s">
        <v>334</v>
      </c>
      <c r="IY12" s="101" t="s">
        <v>290</v>
      </c>
      <c r="IZ12" s="101" t="s">
        <v>192</v>
      </c>
      <c r="JB12" s="123" t="s">
        <v>368</v>
      </c>
      <c r="JC12" s="123" t="s">
        <v>210</v>
      </c>
    </row>
    <row r="13" spans="2:263" ht="12.75" customHeight="1" x14ac:dyDescent="0.2">
      <c r="B13" s="1" t="s">
        <v>4</v>
      </c>
      <c r="C13" s="319">
        <v>45940.224999999999</v>
      </c>
      <c r="D13" s="317"/>
      <c r="F13" s="318" t="s">
        <v>27</v>
      </c>
      <c r="G13" s="318"/>
      <c r="H13" s="343">
        <v>0.875</v>
      </c>
      <c r="I13" s="343"/>
      <c r="J13" s="343"/>
      <c r="K13" s="162">
        <f>+H13*24</f>
        <v>21</v>
      </c>
      <c r="L13" s="325" t="s">
        <v>1</v>
      </c>
      <c r="M13" s="326"/>
      <c r="N13" s="161">
        <f>SUMIF('Serv. no Conf. - Horas Muertas'!$N$18:$N$66,"ATRAQUE",'Serv. no Conf. - Horas Muertas'!$F$18:$F$66)</f>
        <v>4.0972222222222299E-2</v>
      </c>
      <c r="P13" s="320" t="s">
        <v>418</v>
      </c>
      <c r="Q13" s="321"/>
      <c r="R13" s="161">
        <f>SUMIF('Serv. no Conf. - Horas Muertas'!$O$72:$O$225,P13,'Serv. no Conf. - Horas Muertas'!$F$72:$F$225)</f>
        <v>0</v>
      </c>
      <c r="S13" s="32"/>
      <c r="T13" s="89" t="str">
        <f>IF($R$46="","",$R$46)</f>
        <v/>
      </c>
      <c r="U13" s="100" t="str">
        <f>IF($R$47="","",$R$47)</f>
        <v/>
      </c>
      <c r="V13" s="198">
        <f>$R$103</f>
        <v>0</v>
      </c>
      <c r="W13" s="160">
        <f>$AA$103</f>
        <v>0</v>
      </c>
      <c r="X13" s="32"/>
      <c r="Y13" s="32"/>
      <c r="Z13" s="32"/>
      <c r="IG13" s="224" t="s">
        <v>437</v>
      </c>
      <c r="IL13" s="3" t="s">
        <v>270</v>
      </c>
      <c r="IM13" s="3" t="s">
        <v>233</v>
      </c>
      <c r="IO13" s="3" t="s">
        <v>115</v>
      </c>
      <c r="IR13" s="3" t="s">
        <v>246</v>
      </c>
      <c r="IY13" s="149" t="s">
        <v>367</v>
      </c>
      <c r="IZ13" s="149" t="s">
        <v>196</v>
      </c>
      <c r="JB13" s="123"/>
      <c r="JC13" s="123" t="s">
        <v>210</v>
      </c>
    </row>
    <row r="14" spans="2:263" x14ac:dyDescent="0.2">
      <c r="B14" s="1" t="s">
        <v>17</v>
      </c>
      <c r="C14" s="319" t="s">
        <v>331</v>
      </c>
      <c r="D14" s="317"/>
      <c r="F14" s="318" t="s">
        <v>28</v>
      </c>
      <c r="G14" s="318"/>
      <c r="H14" s="344">
        <f>IF(C13="",0,C13-C10)</f>
        <v>1.4951388888875954</v>
      </c>
      <c r="I14" s="345"/>
      <c r="J14" s="346"/>
      <c r="K14" s="162">
        <f>+H14*24</f>
        <v>35.883333333302289</v>
      </c>
      <c r="L14" s="325" t="s">
        <v>4</v>
      </c>
      <c r="M14" s="326"/>
      <c r="N14" s="161">
        <f>SUMIF('Serv. no Conf. - Horas Muertas'!$N$18:$N$66,"DESATRAQUE",'Serv. no Conf. - Horas Muertas'!$F$18:$F$66)</f>
        <v>8.3333333333333315E-3</v>
      </c>
      <c r="P14" s="320" t="s">
        <v>14</v>
      </c>
      <c r="Q14" s="321"/>
      <c r="R14" s="161">
        <f>SUMIF('Serv. no Conf. - Horas Muertas'!$O$72:$O$225,P14,'Serv. no Conf. - Horas Muertas'!$F$72:$F$225)</f>
        <v>0</v>
      </c>
      <c r="T14" s="89" t="str">
        <f>IF($AB$46="","",$AB$46)</f>
        <v/>
      </c>
      <c r="U14" s="100" t="str">
        <f>IF($AB$47="","",$AB$47)</f>
        <v/>
      </c>
      <c r="V14" s="198">
        <f>$AB$103</f>
        <v>0</v>
      </c>
      <c r="W14" s="160">
        <f>$AC$103</f>
        <v>0</v>
      </c>
      <c r="IL14" s="3" t="s">
        <v>260</v>
      </c>
      <c r="IM14" s="3" t="s">
        <v>234</v>
      </c>
      <c r="IO14" s="3" t="s">
        <v>116</v>
      </c>
      <c r="IR14" s="3" t="s">
        <v>247</v>
      </c>
      <c r="IY14" s="149" t="s">
        <v>319</v>
      </c>
      <c r="IZ14" s="101" t="s">
        <v>196</v>
      </c>
      <c r="JB14" s="123"/>
      <c r="JC14" s="123" t="s">
        <v>210</v>
      </c>
    </row>
    <row r="15" spans="2:263" x14ac:dyDescent="0.2">
      <c r="B15" s="1" t="s">
        <v>18</v>
      </c>
      <c r="C15" s="319" t="s">
        <v>243</v>
      </c>
      <c r="D15" s="317"/>
      <c r="F15" s="339" t="s">
        <v>124</v>
      </c>
      <c r="G15" s="340"/>
      <c r="H15" s="336">
        <f>IF(D43=0," ",D43/(H14*24))</f>
        <v>1226.3364607534995</v>
      </c>
      <c r="I15" s="337"/>
      <c r="J15" s="338"/>
      <c r="K15" s="38"/>
      <c r="M15" s="102"/>
      <c r="N15" s="161">
        <f>SUM(N7:N14)</f>
        <v>0.62013888888888868</v>
      </c>
      <c r="T15" s="89" t="str">
        <f>IF($AD$46="","",$AD$46)</f>
        <v/>
      </c>
      <c r="U15" s="100" t="str">
        <f>IF($AD$47="","",$AD$47)</f>
        <v/>
      </c>
      <c r="V15" s="198">
        <f>$AD$103</f>
        <v>0</v>
      </c>
      <c r="W15" s="160">
        <f>$AE$103</f>
        <v>0</v>
      </c>
      <c r="IL15" s="3" t="s">
        <v>271</v>
      </c>
      <c r="IM15" s="2" t="s">
        <v>235</v>
      </c>
      <c r="IO15" s="3" t="s">
        <v>127</v>
      </c>
      <c r="IR15" s="3" t="s">
        <v>336</v>
      </c>
      <c r="IY15" s="149" t="s">
        <v>376</v>
      </c>
      <c r="IZ15" s="101" t="s">
        <v>192</v>
      </c>
    </row>
    <row r="16" spans="2:263" x14ac:dyDescent="0.2">
      <c r="B16" s="9"/>
      <c r="C16" s="103"/>
      <c r="D16" s="103"/>
      <c r="F16" s="339" t="s">
        <v>125</v>
      </c>
      <c r="G16" s="340"/>
      <c r="H16" s="324" t="str">
        <f>IF(E43=0," ",E43/(H14*24))</f>
        <v xml:space="preserve"> </v>
      </c>
      <c r="I16" s="322"/>
      <c r="J16" s="323"/>
      <c r="K16" s="163"/>
      <c r="R16" s="161">
        <f>SUM(R7:R14)</f>
        <v>0</v>
      </c>
      <c r="T16" s="93"/>
      <c r="U16" s="104"/>
      <c r="V16" s="199"/>
      <c r="W16" s="200"/>
      <c r="IL16" s="3" t="s">
        <v>272</v>
      </c>
      <c r="IM16" s="3" t="s">
        <v>236</v>
      </c>
      <c r="IO16" s="3" t="s">
        <v>173</v>
      </c>
      <c r="IR16" s="3" t="s">
        <v>332</v>
      </c>
      <c r="IY16" s="149" t="s">
        <v>199</v>
      </c>
      <c r="IZ16" s="149" t="s">
        <v>211</v>
      </c>
    </row>
    <row r="17" spans="2:260" x14ac:dyDescent="0.2">
      <c r="B17" s="119" t="s">
        <v>406</v>
      </c>
      <c r="C17" s="319">
        <v>45938.708333333336</v>
      </c>
      <c r="D17" s="317"/>
      <c r="F17" s="339" t="s">
        <v>140</v>
      </c>
      <c r="G17" s="340"/>
      <c r="H17" s="333">
        <f>IF(C13="",0,C12-C11)</f>
        <v>1.1944444444452529</v>
      </c>
      <c r="I17" s="334"/>
      <c r="J17" s="335"/>
      <c r="K17" s="227">
        <f>+H17*24</f>
        <v>28.666666666686069</v>
      </c>
      <c r="L17" s="228">
        <f>K13+'Serv. no Conf. - Horas Muertas'!G67</f>
        <v>28.666666666666664</v>
      </c>
      <c r="M17" s="226">
        <f>+N15+H13</f>
        <v>1.4951388888888886</v>
      </c>
      <c r="AB17" s="34"/>
      <c r="AC17" s="2"/>
      <c r="AD17" s="35"/>
      <c r="AE17" s="35"/>
      <c r="IL17" s="3" t="s">
        <v>273</v>
      </c>
      <c r="IM17" s="3" t="s">
        <v>237</v>
      </c>
      <c r="IO17" s="3" t="s">
        <v>118</v>
      </c>
      <c r="IR17" s="3" t="s">
        <v>333</v>
      </c>
      <c r="IY17" s="149" t="s">
        <v>200</v>
      </c>
      <c r="IZ17" s="149" t="s">
        <v>211</v>
      </c>
    </row>
    <row r="18" spans="2:260" x14ac:dyDescent="0.2">
      <c r="B18" s="119" t="s">
        <v>407</v>
      </c>
      <c r="C18" s="319">
        <v>45938.833333333336</v>
      </c>
      <c r="D18" s="317"/>
      <c r="K18" s="105"/>
      <c r="M18" s="105"/>
      <c r="R18" s="34"/>
      <c r="S18" s="34"/>
      <c r="T18" s="34"/>
      <c r="U18" s="34"/>
      <c r="V18" s="34"/>
      <c r="W18" s="34"/>
      <c r="X18" s="34"/>
      <c r="Y18" s="34"/>
      <c r="Z18" s="34"/>
      <c r="AA18" s="2" t="str">
        <f>IF($AD$47="","",$AD$47)</f>
        <v/>
      </c>
      <c r="AB18" s="35"/>
      <c r="AC18" s="35"/>
      <c r="IL18" s="3" t="s">
        <v>274</v>
      </c>
      <c r="IM18" s="3" t="s">
        <v>238</v>
      </c>
      <c r="IO18" s="3" t="s">
        <v>117</v>
      </c>
      <c r="IR18" s="3" t="s">
        <v>356</v>
      </c>
      <c r="IY18" s="101" t="s">
        <v>291</v>
      </c>
      <c r="IZ18" s="101" t="s">
        <v>192</v>
      </c>
    </row>
    <row r="19" spans="2:260" x14ac:dyDescent="0.2">
      <c r="B19" s="119" t="s">
        <v>408</v>
      </c>
      <c r="C19" s="319">
        <v>45940.083333333336</v>
      </c>
      <c r="D19" s="317"/>
      <c r="K19" s="105"/>
      <c r="M19" s="105"/>
      <c r="R19" s="34"/>
      <c r="S19" s="34"/>
      <c r="T19" s="34"/>
      <c r="U19" s="34"/>
      <c r="V19" s="34"/>
      <c r="W19" s="34"/>
      <c r="X19" s="34"/>
      <c r="Y19" s="34"/>
      <c r="Z19" s="34"/>
      <c r="AA19" s="2"/>
      <c r="AB19" s="35"/>
      <c r="AC19" s="35"/>
      <c r="IL19" s="3" t="s">
        <v>261</v>
      </c>
      <c r="IM19" s="2" t="s">
        <v>256</v>
      </c>
      <c r="IO19" s="3" t="s">
        <v>119</v>
      </c>
      <c r="IR19" s="3" t="s">
        <v>357</v>
      </c>
      <c r="IY19" s="101" t="s">
        <v>281</v>
      </c>
      <c r="IZ19" s="101" t="s">
        <v>211</v>
      </c>
    </row>
    <row r="20" spans="2:260" x14ac:dyDescent="0.2">
      <c r="B20" s="120" t="s">
        <v>409</v>
      </c>
      <c r="C20" s="319">
        <v>45940.097222222219</v>
      </c>
      <c r="D20" s="317"/>
      <c r="K20" s="105"/>
      <c r="M20" s="105"/>
      <c r="R20" s="34"/>
      <c r="S20" s="34"/>
      <c r="T20" s="34"/>
      <c r="U20" s="34"/>
      <c r="V20" s="34"/>
      <c r="W20" s="34"/>
      <c r="X20" s="34"/>
      <c r="Y20" s="34"/>
      <c r="Z20" s="34"/>
      <c r="AA20" s="2"/>
      <c r="AB20" s="35"/>
      <c r="AC20" s="35"/>
      <c r="IL20" s="3" t="s">
        <v>262</v>
      </c>
      <c r="IM20" s="3" t="s">
        <v>257</v>
      </c>
      <c r="IO20" s="3" t="s">
        <v>112</v>
      </c>
      <c r="IR20" s="3" t="s">
        <v>358</v>
      </c>
      <c r="IY20" s="149" t="s">
        <v>292</v>
      </c>
      <c r="IZ20" s="149" t="s">
        <v>192</v>
      </c>
    </row>
    <row r="21" spans="2:260" x14ac:dyDescent="0.2">
      <c r="B21" s="120" t="s">
        <v>429</v>
      </c>
      <c r="C21" s="316" t="s">
        <v>430</v>
      </c>
      <c r="D21" s="317"/>
      <c r="K21" s="105"/>
      <c r="M21" s="105"/>
      <c r="R21" s="34"/>
      <c r="S21" s="34"/>
      <c r="T21" s="34"/>
      <c r="U21" s="34"/>
      <c r="V21" s="34"/>
      <c r="W21" s="34"/>
      <c r="X21" s="34"/>
      <c r="Y21" s="34"/>
      <c r="Z21" s="34"/>
      <c r="AA21" s="2"/>
      <c r="AB21" s="35"/>
      <c r="AC21" s="35"/>
      <c r="AG21" s="263"/>
      <c r="AH21" s="263"/>
      <c r="AI21" s="263"/>
      <c r="AJ21" s="263"/>
      <c r="AK21" s="263"/>
      <c r="IY21" s="149"/>
      <c r="IZ21" s="149"/>
    </row>
    <row r="22" spans="2:260" x14ac:dyDescent="0.2">
      <c r="K22" s="105"/>
      <c r="M22" s="105"/>
      <c r="R22" s="34"/>
      <c r="S22" s="34"/>
      <c r="T22" s="34"/>
      <c r="U22" s="34"/>
      <c r="V22" s="34"/>
      <c r="W22" s="34"/>
      <c r="X22" s="34"/>
      <c r="Y22" s="34"/>
      <c r="Z22" s="34"/>
      <c r="AA22" s="2"/>
      <c r="AB22" s="35"/>
      <c r="AC22" s="35"/>
      <c r="AG22" s="263"/>
      <c r="AH22" s="266"/>
      <c r="AI22" s="266"/>
      <c r="AJ22" s="264"/>
      <c r="AK22" s="263"/>
      <c r="IL22" s="3" t="s">
        <v>275</v>
      </c>
      <c r="IM22" s="3" t="s">
        <v>118</v>
      </c>
      <c r="IO22" s="3" t="s">
        <v>120</v>
      </c>
      <c r="IR22" s="3" t="s">
        <v>359</v>
      </c>
      <c r="IY22" s="149" t="s">
        <v>293</v>
      </c>
      <c r="IZ22" s="149" t="s">
        <v>192</v>
      </c>
    </row>
    <row r="23" spans="2:260" x14ac:dyDescent="0.2">
      <c r="B23" s="119" t="s">
        <v>347</v>
      </c>
      <c r="C23" s="322">
        <v>9561942</v>
      </c>
      <c r="D23" s="323"/>
      <c r="K23" s="105"/>
      <c r="M23" s="105"/>
      <c r="R23" s="34"/>
      <c r="S23" s="34"/>
      <c r="T23" s="34"/>
      <c r="U23" s="34"/>
      <c r="V23" s="34"/>
      <c r="W23" s="34"/>
      <c r="X23" s="34"/>
      <c r="Y23" s="34"/>
      <c r="Z23" s="34"/>
      <c r="AA23" s="2"/>
      <c r="AB23" s="35"/>
      <c r="AC23" s="35"/>
      <c r="AG23" s="263"/>
      <c r="AH23" s="266"/>
      <c r="AI23" s="266"/>
      <c r="AJ23" s="264"/>
      <c r="AK23" s="263"/>
      <c r="IL23" s="3" t="s">
        <v>276</v>
      </c>
      <c r="IR23" s="3" t="s">
        <v>374</v>
      </c>
      <c r="IY23" s="149" t="s">
        <v>364</v>
      </c>
      <c r="IZ23" s="149" t="s">
        <v>196</v>
      </c>
    </row>
    <row r="24" spans="2:260" x14ac:dyDescent="0.2">
      <c r="B24" s="119" t="s">
        <v>349</v>
      </c>
      <c r="C24" s="316" t="s">
        <v>442</v>
      </c>
      <c r="D24" s="317"/>
      <c r="K24" s="105"/>
      <c r="M24" s="105"/>
      <c r="R24" s="34"/>
      <c r="S24" s="34"/>
      <c r="T24" s="34"/>
      <c r="U24" s="34"/>
      <c r="V24" s="34"/>
      <c r="W24" s="34"/>
      <c r="X24" s="34"/>
      <c r="Y24" s="34"/>
      <c r="Z24" s="34"/>
      <c r="AA24" s="2"/>
      <c r="AB24" s="35"/>
      <c r="AC24" s="35"/>
      <c r="AG24" s="263"/>
      <c r="AH24" s="266"/>
      <c r="AI24" s="266"/>
      <c r="AJ24" s="265"/>
      <c r="AK24" s="263"/>
      <c r="IL24" s="3" t="s">
        <v>196</v>
      </c>
      <c r="IY24" s="149" t="s">
        <v>335</v>
      </c>
      <c r="IZ24" s="149" t="s">
        <v>211</v>
      </c>
    </row>
    <row r="25" spans="2:260" x14ac:dyDescent="0.2">
      <c r="B25" s="119" t="s">
        <v>350</v>
      </c>
      <c r="C25" s="316" t="s">
        <v>443</v>
      </c>
      <c r="D25" s="317"/>
      <c r="K25" s="105"/>
      <c r="M25" s="105"/>
      <c r="R25" s="34"/>
      <c r="S25" s="34"/>
      <c r="T25" s="34"/>
      <c r="U25" s="34"/>
      <c r="V25" s="34"/>
      <c r="W25" s="34"/>
      <c r="X25" s="34"/>
      <c r="Y25" s="34"/>
      <c r="Z25" s="34"/>
      <c r="AA25" s="2"/>
      <c r="AB25" s="35"/>
      <c r="AC25" s="35"/>
      <c r="AG25" s="263"/>
      <c r="AH25" s="266"/>
      <c r="AI25" s="266"/>
      <c r="AJ25" s="264"/>
      <c r="AK25" s="263"/>
      <c r="IL25" s="3" t="s">
        <v>277</v>
      </c>
      <c r="IM25" s="3" t="s">
        <v>235</v>
      </c>
      <c r="IY25" s="149" t="s">
        <v>201</v>
      </c>
      <c r="IZ25" s="149" t="s">
        <v>211</v>
      </c>
    </row>
    <row r="26" spans="2:260" x14ac:dyDescent="0.2">
      <c r="K26" s="105"/>
      <c r="L26" s="256"/>
      <c r="M26" s="307"/>
      <c r="N26" s="307"/>
      <c r="O26" s="257"/>
      <c r="R26" s="34"/>
      <c r="S26" s="34"/>
      <c r="T26" s="34"/>
      <c r="U26" s="34"/>
      <c r="V26" s="34"/>
      <c r="W26" s="34"/>
      <c r="X26" s="34"/>
      <c r="Y26" s="34"/>
      <c r="Z26" s="34"/>
      <c r="AA26" s="2"/>
      <c r="AB26" s="35"/>
      <c r="AC26" s="35"/>
      <c r="AG26" s="263"/>
      <c r="AH26" s="266"/>
      <c r="AI26" s="266"/>
      <c r="AJ26" s="264"/>
      <c r="AK26" s="263"/>
      <c r="AL26" s="259"/>
      <c r="IL26" s="3" t="s">
        <v>278</v>
      </c>
      <c r="IM26" s="3" t="s">
        <v>236</v>
      </c>
      <c r="IY26" s="149" t="s">
        <v>294</v>
      </c>
      <c r="IZ26" s="149" t="s">
        <v>192</v>
      </c>
    </row>
    <row r="27" spans="2:260" x14ac:dyDescent="0.2">
      <c r="B27" s="119" t="s">
        <v>348</v>
      </c>
      <c r="C27" s="316">
        <v>45929.864583333336</v>
      </c>
      <c r="D27" s="317"/>
      <c r="K27" s="105"/>
      <c r="L27" s="256"/>
      <c r="M27" s="307"/>
      <c r="N27" s="307"/>
      <c r="O27" s="258"/>
      <c r="R27" s="34"/>
      <c r="S27" s="34"/>
      <c r="T27" s="34"/>
      <c r="U27" s="34"/>
      <c r="V27" s="34"/>
      <c r="W27" s="34"/>
      <c r="X27" s="34"/>
      <c r="Y27" s="34"/>
      <c r="Z27" s="34"/>
      <c r="AA27" s="2"/>
      <c r="AB27" s="35"/>
      <c r="AC27" s="35"/>
      <c r="AG27" s="263"/>
      <c r="AH27" s="263"/>
      <c r="AI27" s="263"/>
      <c r="AJ27" s="263"/>
      <c r="AK27" s="263"/>
      <c r="AL27" s="259"/>
      <c r="IL27" s="3" t="s">
        <v>210</v>
      </c>
      <c r="IY27" s="149" t="s">
        <v>295</v>
      </c>
      <c r="IZ27" s="149" t="s">
        <v>192</v>
      </c>
    </row>
    <row r="28" spans="2:260" x14ac:dyDescent="0.2">
      <c r="K28" s="105"/>
      <c r="L28" s="256"/>
      <c r="M28" s="307"/>
      <c r="N28" s="307"/>
      <c r="O28" s="257"/>
      <c r="R28" s="34"/>
      <c r="S28" s="34"/>
      <c r="T28" s="34"/>
      <c r="U28" s="34"/>
      <c r="V28" s="34"/>
      <c r="W28" s="34"/>
      <c r="X28" s="34"/>
      <c r="Y28" s="34"/>
      <c r="Z28" s="34"/>
      <c r="AA28" s="2"/>
      <c r="AB28" s="35"/>
      <c r="AC28" s="35"/>
      <c r="AG28" s="263"/>
      <c r="AH28" s="263"/>
      <c r="AI28" s="263"/>
      <c r="AJ28" s="263"/>
      <c r="AK28" s="263"/>
      <c r="AL28" s="259"/>
      <c r="IL28" s="3" t="s">
        <v>279</v>
      </c>
      <c r="IY28" s="149" t="s">
        <v>296</v>
      </c>
      <c r="IZ28" s="149" t="s">
        <v>192</v>
      </c>
    </row>
    <row r="29" spans="2:260" x14ac:dyDescent="0.2">
      <c r="B29" s="119" t="s">
        <v>351</v>
      </c>
      <c r="C29" s="316">
        <v>45909.78125</v>
      </c>
      <c r="D29" s="317"/>
      <c r="K29" s="105"/>
      <c r="L29" s="256"/>
      <c r="M29" s="307"/>
      <c r="N29" s="307"/>
      <c r="O29" s="257"/>
      <c r="R29" s="34"/>
      <c r="S29" s="34"/>
      <c r="T29" s="34"/>
      <c r="U29" s="34"/>
      <c r="V29" s="34"/>
      <c r="W29" s="34"/>
      <c r="X29" s="34"/>
      <c r="Y29" s="34"/>
      <c r="Z29" s="34"/>
      <c r="AA29" s="2"/>
      <c r="AB29" s="35"/>
      <c r="AC29" s="35"/>
      <c r="AG29" s="259"/>
      <c r="AH29" s="306"/>
      <c r="AI29" s="306"/>
      <c r="AJ29" s="306"/>
      <c r="AK29" s="258"/>
      <c r="AL29" s="259"/>
      <c r="IL29" s="3" t="s">
        <v>369</v>
      </c>
      <c r="IM29" s="3" t="s">
        <v>234</v>
      </c>
      <c r="IY29" s="149" t="s">
        <v>317</v>
      </c>
      <c r="IZ29" s="149" t="s">
        <v>196</v>
      </c>
    </row>
    <row r="30" spans="2:260" x14ac:dyDescent="0.2">
      <c r="B30" s="119" t="s">
        <v>352</v>
      </c>
      <c r="C30" s="316">
        <v>45940.1875</v>
      </c>
      <c r="D30" s="317"/>
      <c r="K30" s="105"/>
      <c r="L30" s="256"/>
      <c r="M30" s="307"/>
      <c r="N30" s="307"/>
      <c r="O30" s="257"/>
      <c r="R30" s="34"/>
      <c r="S30" s="34"/>
      <c r="T30" s="34"/>
      <c r="U30" s="34"/>
      <c r="V30" s="34"/>
      <c r="W30" s="34"/>
      <c r="X30" s="34"/>
      <c r="Y30" s="34"/>
      <c r="Z30" s="34"/>
      <c r="AA30" s="2"/>
      <c r="AB30" s="35"/>
      <c r="AC30" s="35"/>
      <c r="AG30" s="259"/>
      <c r="AH30" s="306"/>
      <c r="AI30" s="306"/>
      <c r="AJ30" s="306"/>
      <c r="AK30" s="258"/>
      <c r="AL30" s="259"/>
      <c r="IY30" s="101" t="s">
        <v>297</v>
      </c>
      <c r="IZ30" s="101" t="s">
        <v>192</v>
      </c>
    </row>
    <row r="31" spans="2:260" x14ac:dyDescent="0.2">
      <c r="B31" s="119" t="s">
        <v>410</v>
      </c>
      <c r="C31" s="316">
        <v>45908.775694444441</v>
      </c>
      <c r="D31" s="317"/>
      <c r="K31" s="105"/>
      <c r="M31" s="105"/>
      <c r="R31" s="34"/>
      <c r="S31" s="34"/>
      <c r="T31" s="34"/>
      <c r="U31" s="34"/>
      <c r="V31" s="34"/>
      <c r="W31" s="34"/>
      <c r="X31" s="34"/>
      <c r="Y31" s="34"/>
      <c r="Z31" s="34"/>
      <c r="AA31" s="2"/>
      <c r="AB31" s="35"/>
      <c r="AC31" s="35"/>
      <c r="AG31" s="259"/>
      <c r="AH31" s="256"/>
      <c r="AI31" s="307"/>
      <c r="AJ31" s="307"/>
      <c r="AK31" s="257"/>
      <c r="AL31" s="259"/>
      <c r="IY31" s="101"/>
      <c r="IZ31" s="101"/>
    </row>
    <row r="32" spans="2:260" x14ac:dyDescent="0.2">
      <c r="B32" s="119" t="s">
        <v>411</v>
      </c>
      <c r="C32" s="316">
        <v>45909.864583333336</v>
      </c>
      <c r="D32" s="317"/>
      <c r="K32" s="105"/>
      <c r="M32" s="105"/>
      <c r="R32" s="34"/>
      <c r="S32" s="34"/>
      <c r="T32" s="34"/>
      <c r="U32" s="34"/>
      <c r="V32" s="34"/>
      <c r="W32" s="34"/>
      <c r="X32" s="34"/>
      <c r="Y32" s="34"/>
      <c r="Z32" s="34"/>
      <c r="AA32" s="2"/>
      <c r="AB32" s="35"/>
      <c r="AC32" s="35"/>
      <c r="AG32" s="259"/>
      <c r="AH32" s="256"/>
      <c r="AI32" s="307"/>
      <c r="AJ32" s="307"/>
      <c r="AK32" s="257"/>
      <c r="AL32" s="259"/>
      <c r="IY32" s="101"/>
      <c r="IZ32" s="101"/>
    </row>
    <row r="33" spans="2:260" x14ac:dyDescent="0.2">
      <c r="B33" s="120" t="s">
        <v>412</v>
      </c>
      <c r="C33" s="316">
        <v>45909.871527777781</v>
      </c>
      <c r="D33" s="317"/>
      <c r="K33" s="105"/>
      <c r="M33" s="105"/>
      <c r="R33" s="34"/>
      <c r="S33" s="34"/>
      <c r="T33" s="34"/>
      <c r="U33" s="34"/>
      <c r="V33" s="34"/>
      <c r="W33" s="34"/>
      <c r="X33" s="34"/>
      <c r="Y33" s="34"/>
      <c r="Z33" s="34"/>
      <c r="AA33" s="2"/>
      <c r="AB33" s="35"/>
      <c r="AC33" s="35"/>
      <c r="AG33" s="259"/>
      <c r="AH33" s="256"/>
      <c r="AI33" s="307"/>
      <c r="AJ33" s="307"/>
      <c r="AK33" s="257"/>
      <c r="AL33" s="259"/>
      <c r="IY33" s="101"/>
      <c r="IZ33" s="101"/>
    </row>
    <row r="34" spans="2:260" x14ac:dyDescent="0.2">
      <c r="C34" s="103"/>
      <c r="D34" s="103"/>
      <c r="K34" s="105"/>
      <c r="M34" s="105"/>
      <c r="R34" s="34"/>
      <c r="S34" s="34"/>
      <c r="T34" s="34"/>
      <c r="U34" s="34"/>
      <c r="V34" s="34"/>
      <c r="W34" s="34"/>
      <c r="X34" s="34"/>
      <c r="Y34" s="34"/>
      <c r="Z34" s="34"/>
      <c r="AA34" s="2"/>
      <c r="AB34" s="35"/>
      <c r="AC34" s="35"/>
      <c r="AG34" s="259"/>
      <c r="AH34" s="256"/>
      <c r="AI34" s="307"/>
      <c r="AJ34" s="307"/>
      <c r="AK34" s="257"/>
      <c r="AL34" s="259"/>
      <c r="IY34" s="101"/>
      <c r="IZ34" s="101"/>
    </row>
    <row r="35" spans="2:260" x14ac:dyDescent="0.2">
      <c r="K35" s="105"/>
      <c r="M35" s="105"/>
      <c r="R35" s="34"/>
      <c r="S35" s="34"/>
      <c r="T35" s="34"/>
      <c r="U35" s="34"/>
      <c r="V35" s="34"/>
      <c r="W35" s="34"/>
      <c r="X35" s="34"/>
      <c r="Y35" s="34"/>
      <c r="Z35" s="34"/>
      <c r="AA35" s="2"/>
      <c r="AB35" s="35"/>
      <c r="AC35" s="35"/>
      <c r="AG35" s="259"/>
      <c r="AH35" s="256"/>
      <c r="AI35" s="307"/>
      <c r="AJ35" s="307"/>
      <c r="AK35" s="257"/>
      <c r="AL35" s="259"/>
      <c r="IY35" s="101" t="s">
        <v>363</v>
      </c>
      <c r="IZ35" s="149" t="s">
        <v>196</v>
      </c>
    </row>
    <row r="36" spans="2:260" x14ac:dyDescent="0.2">
      <c r="B36" s="81" t="s">
        <v>50</v>
      </c>
      <c r="C36" s="81" t="s">
        <v>59</v>
      </c>
      <c r="D36" s="81" t="s">
        <v>12</v>
      </c>
      <c r="E36" s="81" t="s">
        <v>13</v>
      </c>
      <c r="F36" s="308" t="s">
        <v>94</v>
      </c>
      <c r="G36" s="309"/>
      <c r="H36" s="309"/>
      <c r="I36" s="308" t="s">
        <v>95</v>
      </c>
      <c r="J36" s="309"/>
      <c r="K36" s="309"/>
      <c r="L36" s="309"/>
      <c r="M36" s="309"/>
      <c r="N36" s="309"/>
      <c r="O36" s="310"/>
      <c r="P36" s="106"/>
      <c r="Q36" s="106"/>
      <c r="AG36" s="259"/>
      <c r="AH36" s="256"/>
      <c r="AI36" s="307"/>
      <c r="AJ36" s="307"/>
      <c r="AK36" s="258"/>
      <c r="AL36" s="259"/>
      <c r="IY36" s="149" t="s">
        <v>298</v>
      </c>
      <c r="IZ36" s="149" t="s">
        <v>192</v>
      </c>
    </row>
    <row r="37" spans="2:260" x14ac:dyDescent="0.2">
      <c r="B37" s="101" t="s">
        <v>216</v>
      </c>
      <c r="C37" s="101" t="s">
        <v>223</v>
      </c>
      <c r="D37" s="164">
        <v>44005.04</v>
      </c>
      <c r="E37" s="165"/>
      <c r="F37" s="313" t="s">
        <v>440</v>
      </c>
      <c r="G37" s="314"/>
      <c r="H37" s="315"/>
      <c r="I37" s="313" t="s">
        <v>454</v>
      </c>
      <c r="J37" s="314"/>
      <c r="K37" s="314"/>
      <c r="L37" s="314"/>
      <c r="M37" s="314"/>
      <c r="N37" s="314"/>
      <c r="O37" s="315"/>
      <c r="P37" s="2"/>
      <c r="Q37" s="2"/>
      <c r="AG37" s="259"/>
      <c r="AH37" s="259"/>
      <c r="AI37" s="259"/>
      <c r="AJ37" s="259"/>
      <c r="AK37" s="259"/>
      <c r="AL37" s="259"/>
      <c r="IY37" s="149" t="s">
        <v>339</v>
      </c>
      <c r="IZ37" s="149" t="s">
        <v>192</v>
      </c>
    </row>
    <row r="38" spans="2:260" x14ac:dyDescent="0.2">
      <c r="B38" s="101"/>
      <c r="C38" s="101"/>
      <c r="D38" s="164"/>
      <c r="E38" s="165"/>
      <c r="F38" s="107"/>
      <c r="G38" s="108"/>
      <c r="H38" s="109"/>
      <c r="I38" s="107"/>
      <c r="J38" s="108"/>
      <c r="K38" s="108"/>
      <c r="L38" s="108"/>
      <c r="M38" s="108"/>
      <c r="N38" s="108"/>
      <c r="O38" s="109"/>
      <c r="P38" s="2"/>
      <c r="Q38" s="2"/>
      <c r="AG38" s="259"/>
      <c r="AH38" s="259"/>
      <c r="AI38" s="259"/>
      <c r="AJ38" s="259"/>
      <c r="AK38" s="259"/>
      <c r="AL38" s="259"/>
      <c r="IY38" s="101" t="s">
        <v>375</v>
      </c>
      <c r="IZ38" s="149" t="s">
        <v>209</v>
      </c>
    </row>
    <row r="39" spans="2:260" x14ac:dyDescent="0.2">
      <c r="B39" s="101"/>
      <c r="C39" s="101"/>
      <c r="D39" s="164"/>
      <c r="E39" s="165"/>
      <c r="F39" s="313"/>
      <c r="G39" s="314"/>
      <c r="H39" s="315"/>
      <c r="I39" s="313"/>
      <c r="J39" s="314"/>
      <c r="K39" s="314"/>
      <c r="L39" s="314"/>
      <c r="M39" s="314"/>
      <c r="N39" s="314"/>
      <c r="O39" s="315"/>
      <c r="P39" s="2"/>
      <c r="Q39" s="2"/>
      <c r="AG39" s="259"/>
      <c r="AH39" s="259"/>
      <c r="AI39" s="259"/>
      <c r="AJ39" s="259"/>
      <c r="AK39" s="259"/>
      <c r="AL39" s="259"/>
      <c r="IT39" s="3" t="s">
        <v>186</v>
      </c>
      <c r="IU39" s="3" t="s">
        <v>29</v>
      </c>
      <c r="IY39" s="101" t="s">
        <v>340</v>
      </c>
      <c r="IZ39" s="149" t="s">
        <v>192</v>
      </c>
    </row>
    <row r="40" spans="2:260" x14ac:dyDescent="0.2">
      <c r="B40" s="101"/>
      <c r="C40" s="101"/>
      <c r="D40" s="164"/>
      <c r="E40" s="165"/>
      <c r="F40" s="107"/>
      <c r="G40" s="108"/>
      <c r="H40" s="109"/>
      <c r="I40" s="107"/>
      <c r="J40" s="108"/>
      <c r="K40" s="108"/>
      <c r="L40" s="108"/>
      <c r="M40" s="108"/>
      <c r="N40" s="108"/>
      <c r="O40" s="109"/>
      <c r="P40" s="2"/>
      <c r="Q40" s="2"/>
      <c r="IT40" s="3" t="s">
        <v>187</v>
      </c>
      <c r="IU40" s="3" t="s">
        <v>30</v>
      </c>
      <c r="IY40" s="101" t="s">
        <v>355</v>
      </c>
      <c r="IZ40" s="101" t="s">
        <v>196</v>
      </c>
    </row>
    <row r="41" spans="2:260" x14ac:dyDescent="0.2">
      <c r="B41" s="101"/>
      <c r="C41" s="101"/>
      <c r="D41" s="164"/>
      <c r="E41" s="165"/>
      <c r="F41" s="313"/>
      <c r="G41" s="314"/>
      <c r="H41" s="315"/>
      <c r="I41" s="313"/>
      <c r="J41" s="314"/>
      <c r="K41" s="314"/>
      <c r="L41" s="314"/>
      <c r="M41" s="314"/>
      <c r="N41" s="314"/>
      <c r="O41" s="315"/>
      <c r="P41" s="2"/>
      <c r="Q41" s="2"/>
      <c r="IM41" s="2"/>
      <c r="IP41" s="2"/>
      <c r="IU41" s="3" t="s">
        <v>31</v>
      </c>
      <c r="IY41" s="101" t="s">
        <v>344</v>
      </c>
      <c r="IZ41" s="101" t="s">
        <v>196</v>
      </c>
    </row>
    <row r="42" spans="2:260" ht="12" customHeight="1" x14ac:dyDescent="0.2">
      <c r="D42" s="34"/>
      <c r="E42" s="34"/>
      <c r="IO42" s="354" t="s">
        <v>64</v>
      </c>
      <c r="IP42" s="354"/>
      <c r="IU42" s="3" t="s">
        <v>32</v>
      </c>
      <c r="IY42" s="101" t="s">
        <v>378</v>
      </c>
      <c r="IZ42" s="149" t="s">
        <v>209</v>
      </c>
    </row>
    <row r="43" spans="2:260" ht="12" customHeight="1" x14ac:dyDescent="0.2">
      <c r="B43" s="308" t="s">
        <v>55</v>
      </c>
      <c r="C43" s="310"/>
      <c r="D43" s="164">
        <f>SUM(D37:D42)</f>
        <v>44005.04</v>
      </c>
      <c r="E43" s="165">
        <f>SUM(E37:E41)</f>
        <v>0</v>
      </c>
      <c r="F43" s="34" t="str">
        <f>IF(D43=AF63,"Ok","Diferencia de pesos")</f>
        <v>Ok</v>
      </c>
      <c r="G43" s="34"/>
      <c r="H43" s="34" t="str">
        <f>IF(E43=AG63,"Ok","Diferencia de cantidades")</f>
        <v>Ok</v>
      </c>
      <c r="I43" s="110" t="s">
        <v>101</v>
      </c>
      <c r="J43" s="111"/>
      <c r="IO43" s="2"/>
      <c r="IP43" s="2"/>
      <c r="IU43" s="3" t="s">
        <v>33</v>
      </c>
      <c r="IY43" s="101" t="s">
        <v>343</v>
      </c>
      <c r="IZ43" s="101" t="s">
        <v>196</v>
      </c>
    </row>
    <row r="44" spans="2:260" x14ac:dyDescent="0.2">
      <c r="K44" s="3" t="s">
        <v>448</v>
      </c>
      <c r="IO44" s="2"/>
      <c r="IP44" s="2"/>
      <c r="IU44" s="3" t="s">
        <v>34</v>
      </c>
      <c r="IY44" s="149" t="s">
        <v>345</v>
      </c>
      <c r="IZ44" s="101" t="s">
        <v>211</v>
      </c>
    </row>
    <row r="45" spans="2:260" x14ac:dyDescent="0.2">
      <c r="B45" s="301" t="s">
        <v>0</v>
      </c>
      <c r="C45" s="301" t="s">
        <v>5</v>
      </c>
      <c r="D45" s="308" t="s">
        <v>49</v>
      </c>
      <c r="E45" s="309"/>
      <c r="F45" s="309"/>
      <c r="G45" s="309"/>
      <c r="H45" s="309"/>
      <c r="I45" s="309"/>
      <c r="J45" s="309"/>
      <c r="K45" s="309"/>
      <c r="L45" s="309"/>
      <c r="M45" s="309"/>
      <c r="N45" s="309"/>
      <c r="O45" s="309"/>
      <c r="P45" s="309"/>
      <c r="Q45" s="309"/>
      <c r="R45" s="309"/>
      <c r="S45" s="309"/>
      <c r="T45" s="309"/>
      <c r="U45" s="309"/>
      <c r="V45" s="309"/>
      <c r="W45" s="309"/>
      <c r="X45" s="309"/>
      <c r="Y45" s="309"/>
      <c r="Z45" s="309"/>
      <c r="AA45" s="309"/>
      <c r="AB45" s="309"/>
      <c r="AC45" s="309"/>
      <c r="AD45" s="309"/>
      <c r="AE45" s="309"/>
      <c r="AF45" s="309"/>
      <c r="AG45" s="310"/>
      <c r="IO45" s="2"/>
      <c r="IP45" s="2"/>
      <c r="IU45" s="3" t="s">
        <v>70</v>
      </c>
      <c r="IY45" s="101" t="s">
        <v>299</v>
      </c>
      <c r="IZ45" s="149" t="s">
        <v>192</v>
      </c>
    </row>
    <row r="46" spans="2:260" x14ac:dyDescent="0.2">
      <c r="B46" s="301"/>
      <c r="C46" s="301"/>
      <c r="D46" s="302" t="s">
        <v>449</v>
      </c>
      <c r="E46" s="303"/>
      <c r="F46" s="302" t="s">
        <v>444</v>
      </c>
      <c r="G46" s="303"/>
      <c r="H46" s="302" t="s">
        <v>445</v>
      </c>
      <c r="I46" s="303"/>
      <c r="J46" s="302" t="s">
        <v>446</v>
      </c>
      <c r="K46" s="303"/>
      <c r="L46" s="302" t="s">
        <v>447</v>
      </c>
      <c r="M46" s="303"/>
      <c r="N46" s="302"/>
      <c r="O46" s="303"/>
      <c r="P46" s="302"/>
      <c r="Q46" s="303"/>
      <c r="R46" s="302"/>
      <c r="S46" s="303"/>
      <c r="T46" s="302"/>
      <c r="U46" s="303"/>
      <c r="V46" s="302"/>
      <c r="W46" s="303"/>
      <c r="X46" s="302"/>
      <c r="Y46" s="303"/>
      <c r="Z46" s="302"/>
      <c r="AA46" s="303"/>
      <c r="AB46" s="302"/>
      <c r="AC46" s="303"/>
      <c r="AD46" s="302"/>
      <c r="AE46" s="303"/>
      <c r="AF46" s="311" t="s">
        <v>9</v>
      </c>
      <c r="AG46" s="312"/>
      <c r="IO46" s="2"/>
      <c r="IU46" s="3" t="s">
        <v>71</v>
      </c>
      <c r="IY46" s="149" t="s">
        <v>203</v>
      </c>
      <c r="IZ46" s="149" t="s">
        <v>211</v>
      </c>
    </row>
    <row r="47" spans="2:260" x14ac:dyDescent="0.2">
      <c r="B47" s="301"/>
      <c r="C47" s="301"/>
      <c r="D47" s="302" t="s">
        <v>466</v>
      </c>
      <c r="E47" s="303"/>
      <c r="F47" s="302" t="s">
        <v>467</v>
      </c>
      <c r="G47" s="303"/>
      <c r="H47" s="302" t="s">
        <v>456</v>
      </c>
      <c r="I47" s="303"/>
      <c r="J47" s="302" t="s">
        <v>468</v>
      </c>
      <c r="K47" s="303"/>
      <c r="L47" s="302" t="s">
        <v>469</v>
      </c>
      <c r="M47" s="303"/>
      <c r="N47" s="302"/>
      <c r="O47" s="303"/>
      <c r="P47" s="302"/>
      <c r="Q47" s="303"/>
      <c r="R47" s="302"/>
      <c r="S47" s="303"/>
      <c r="T47" s="302"/>
      <c r="U47" s="303"/>
      <c r="V47" s="302"/>
      <c r="W47" s="303"/>
      <c r="X47" s="302"/>
      <c r="Y47" s="303"/>
      <c r="Z47" s="302"/>
      <c r="AA47" s="303"/>
      <c r="AB47" s="302"/>
      <c r="AC47" s="303"/>
      <c r="AD47" s="302"/>
      <c r="AE47" s="303"/>
      <c r="AF47" s="72"/>
      <c r="AG47" s="73"/>
      <c r="IU47" s="3" t="s">
        <v>72</v>
      </c>
      <c r="IY47" s="149" t="s">
        <v>300</v>
      </c>
      <c r="IZ47" s="149" t="s">
        <v>192</v>
      </c>
    </row>
    <row r="48" spans="2:260" x14ac:dyDescent="0.2">
      <c r="B48" s="301"/>
      <c r="C48" s="301"/>
      <c r="D48" s="69" t="s">
        <v>10</v>
      </c>
      <c r="E48" s="38" t="s">
        <v>11</v>
      </c>
      <c r="F48" s="69" t="s">
        <v>10</v>
      </c>
      <c r="G48" s="38" t="s">
        <v>11</v>
      </c>
      <c r="H48" s="69" t="s">
        <v>10</v>
      </c>
      <c r="I48" s="38" t="s">
        <v>11</v>
      </c>
      <c r="J48" s="69" t="s">
        <v>10</v>
      </c>
      <c r="K48" s="38" t="s">
        <v>11</v>
      </c>
      <c r="L48" s="69" t="s">
        <v>10</v>
      </c>
      <c r="M48" s="38" t="s">
        <v>11</v>
      </c>
      <c r="N48" s="69" t="s">
        <v>10</v>
      </c>
      <c r="O48" s="38" t="s">
        <v>11</v>
      </c>
      <c r="P48" s="69" t="s">
        <v>10</v>
      </c>
      <c r="Q48" s="38" t="s">
        <v>11</v>
      </c>
      <c r="R48" s="69" t="s">
        <v>10</v>
      </c>
      <c r="S48" s="38" t="s">
        <v>11</v>
      </c>
      <c r="T48" s="69" t="s">
        <v>10</v>
      </c>
      <c r="U48" s="38" t="s">
        <v>11</v>
      </c>
      <c r="V48" s="69" t="s">
        <v>10</v>
      </c>
      <c r="W48" s="38" t="s">
        <v>11</v>
      </c>
      <c r="X48" s="69" t="s">
        <v>10</v>
      </c>
      <c r="Y48" s="38" t="s">
        <v>11</v>
      </c>
      <c r="Z48" s="69" t="s">
        <v>10</v>
      </c>
      <c r="AA48" s="38" t="s">
        <v>11</v>
      </c>
      <c r="AB48" s="69" t="s">
        <v>10</v>
      </c>
      <c r="AC48" s="38" t="s">
        <v>11</v>
      </c>
      <c r="AD48" s="69" t="s">
        <v>10</v>
      </c>
      <c r="AE48" s="38" t="s">
        <v>11</v>
      </c>
      <c r="AF48" s="79" t="s">
        <v>10</v>
      </c>
      <c r="AG48" s="112" t="s">
        <v>11</v>
      </c>
      <c r="IU48" s="3" t="s">
        <v>73</v>
      </c>
      <c r="IY48" s="149" t="s">
        <v>195</v>
      </c>
      <c r="IZ48" s="149" t="s">
        <v>196</v>
      </c>
    </row>
    <row r="49" spans="2:260" x14ac:dyDescent="0.2">
      <c r="B49" s="113">
        <v>45938</v>
      </c>
      <c r="C49" s="114" t="s">
        <v>450</v>
      </c>
      <c r="D49" s="166"/>
      <c r="E49" s="44"/>
      <c r="F49" s="166"/>
      <c r="G49" s="44"/>
      <c r="H49" s="166"/>
      <c r="I49" s="44"/>
      <c r="J49" s="166">
        <v>9000.0400000000009</v>
      </c>
      <c r="K49" s="44"/>
      <c r="L49" s="166"/>
      <c r="M49" s="44"/>
      <c r="N49" s="166"/>
      <c r="O49" s="83"/>
      <c r="P49" s="167"/>
      <c r="Q49" s="83"/>
      <c r="R49" s="167"/>
      <c r="S49" s="83"/>
      <c r="T49" s="167"/>
      <c r="U49" s="83"/>
      <c r="V49" s="167"/>
      <c r="W49" s="83"/>
      <c r="X49" s="167"/>
      <c r="Y49" s="83"/>
      <c r="Z49" s="167"/>
      <c r="AA49" s="83"/>
      <c r="AB49" s="167"/>
      <c r="AC49" s="83"/>
      <c r="AD49" s="167"/>
      <c r="AE49" s="83"/>
      <c r="AF49" s="168">
        <f t="shared" ref="AF49:AF55" si="0">SUM(D49,F49,H49,J49,L49,N49,P49,R49,AB49,AD49,Z49,X49,V49,T49)</f>
        <v>9000.0400000000009</v>
      </c>
      <c r="AG49" s="169">
        <f t="shared" ref="AG49:AG55" si="1">SUM(E49,G49,I49,K49,M49,O49,Q49,AA49,AC49,AE49,Y49,W49,U49,S49)</f>
        <v>0</v>
      </c>
      <c r="IY49" s="149" t="s">
        <v>324</v>
      </c>
      <c r="IZ49" s="101" t="s">
        <v>196</v>
      </c>
    </row>
    <row r="50" spans="2:260" x14ac:dyDescent="0.2">
      <c r="B50" s="115">
        <v>45939</v>
      </c>
      <c r="C50" s="116" t="s">
        <v>452</v>
      </c>
      <c r="D50" s="170"/>
      <c r="E50" s="89"/>
      <c r="F50" s="170">
        <v>11001.04</v>
      </c>
      <c r="G50" s="89"/>
      <c r="H50" s="170"/>
      <c r="I50" s="89"/>
      <c r="J50" s="170"/>
      <c r="K50" s="89"/>
      <c r="L50" s="170"/>
      <c r="M50" s="89"/>
      <c r="N50" s="170"/>
      <c r="O50" s="86"/>
      <c r="P50" s="171"/>
      <c r="Q50" s="86"/>
      <c r="R50" s="171"/>
      <c r="S50" s="86"/>
      <c r="T50" s="171"/>
      <c r="U50" s="86"/>
      <c r="V50" s="171"/>
      <c r="W50" s="86"/>
      <c r="X50" s="171"/>
      <c r="Y50" s="86"/>
      <c r="Z50" s="171"/>
      <c r="AA50" s="86"/>
      <c r="AB50" s="171"/>
      <c r="AC50" s="86"/>
      <c r="AD50" s="171"/>
      <c r="AE50" s="86"/>
      <c r="AF50" s="172">
        <f t="shared" si="0"/>
        <v>11001.04</v>
      </c>
      <c r="AG50" s="62">
        <f t="shared" si="1"/>
        <v>0</v>
      </c>
      <c r="IO50" s="3" t="s">
        <v>126</v>
      </c>
      <c r="IY50" s="149" t="s">
        <v>322</v>
      </c>
      <c r="IZ50" s="149" t="s">
        <v>196</v>
      </c>
    </row>
    <row r="51" spans="2:260" x14ac:dyDescent="0.2">
      <c r="B51" s="115">
        <v>45939</v>
      </c>
      <c r="C51" s="116" t="s">
        <v>452</v>
      </c>
      <c r="D51" s="170"/>
      <c r="E51" s="89"/>
      <c r="F51" s="170"/>
      <c r="G51" s="89"/>
      <c r="H51" s="170"/>
      <c r="I51" s="89"/>
      <c r="J51" s="170">
        <v>2000.5</v>
      </c>
      <c r="K51" s="89"/>
      <c r="L51" s="170"/>
      <c r="M51" s="89"/>
      <c r="N51" s="170"/>
      <c r="O51" s="86"/>
      <c r="P51" s="171"/>
      <c r="Q51" s="86"/>
      <c r="R51" s="171"/>
      <c r="S51" s="86"/>
      <c r="T51" s="171"/>
      <c r="U51" s="86"/>
      <c r="V51" s="171"/>
      <c r="W51" s="86"/>
      <c r="X51" s="171"/>
      <c r="Y51" s="86"/>
      <c r="Z51" s="171"/>
      <c r="AA51" s="86"/>
      <c r="AB51" s="171"/>
      <c r="AC51" s="86"/>
      <c r="AD51" s="171"/>
      <c r="AE51" s="86"/>
      <c r="AF51" s="172">
        <f t="shared" si="0"/>
        <v>2000.5</v>
      </c>
      <c r="AG51" s="62">
        <f t="shared" si="1"/>
        <v>0</v>
      </c>
      <c r="IO51" s="3" t="s">
        <v>64</v>
      </c>
      <c r="IT51" s="121" t="s">
        <v>177</v>
      </c>
      <c r="IY51" s="149" t="s">
        <v>189</v>
      </c>
      <c r="IZ51" s="101" t="s">
        <v>192</v>
      </c>
    </row>
    <row r="52" spans="2:260" x14ac:dyDescent="0.2">
      <c r="B52" s="115">
        <v>45939</v>
      </c>
      <c r="C52" s="116" t="s">
        <v>452</v>
      </c>
      <c r="D52" s="170"/>
      <c r="E52" s="89"/>
      <c r="F52" s="170"/>
      <c r="G52" s="89"/>
      <c r="H52" s="170"/>
      <c r="I52" s="89"/>
      <c r="J52" s="170"/>
      <c r="K52" s="89"/>
      <c r="L52" s="170">
        <v>4501.96</v>
      </c>
      <c r="M52" s="89"/>
      <c r="N52" s="170"/>
      <c r="O52" s="86"/>
      <c r="P52" s="171"/>
      <c r="Q52" s="86"/>
      <c r="R52" s="171"/>
      <c r="S52" s="86"/>
      <c r="T52" s="171"/>
      <c r="U52" s="86"/>
      <c r="V52" s="171"/>
      <c r="W52" s="86"/>
      <c r="X52" s="171"/>
      <c r="Y52" s="86"/>
      <c r="Z52" s="171"/>
      <c r="AA52" s="86"/>
      <c r="AB52" s="171"/>
      <c r="AC52" s="86"/>
      <c r="AD52" s="171"/>
      <c r="AE52" s="86"/>
      <c r="AF52" s="172">
        <f t="shared" si="0"/>
        <v>4501.96</v>
      </c>
      <c r="AG52" s="62">
        <f t="shared" si="1"/>
        <v>0</v>
      </c>
      <c r="IO52" s="2" t="s">
        <v>77</v>
      </c>
      <c r="IT52" s="3" t="s">
        <v>126</v>
      </c>
      <c r="IY52" s="149" t="s">
        <v>325</v>
      </c>
      <c r="IZ52" s="149" t="s">
        <v>196</v>
      </c>
    </row>
    <row r="53" spans="2:260" x14ac:dyDescent="0.2">
      <c r="B53" s="115">
        <v>45939</v>
      </c>
      <c r="C53" s="116" t="s">
        <v>450</v>
      </c>
      <c r="D53" s="170">
        <v>7200.76</v>
      </c>
      <c r="E53" s="89"/>
      <c r="F53" s="170"/>
      <c r="G53" s="89"/>
      <c r="H53" s="170"/>
      <c r="I53" s="89"/>
      <c r="J53" s="170"/>
      <c r="K53" s="89"/>
      <c r="L53" s="170"/>
      <c r="M53" s="89"/>
      <c r="N53" s="170"/>
      <c r="O53" s="86"/>
      <c r="P53" s="171"/>
      <c r="Q53" s="86"/>
      <c r="R53" s="171"/>
      <c r="S53" s="86"/>
      <c r="T53" s="171"/>
      <c r="U53" s="86"/>
      <c r="V53" s="171"/>
      <c r="W53" s="86"/>
      <c r="X53" s="171"/>
      <c r="Y53" s="86"/>
      <c r="Z53" s="171"/>
      <c r="AA53" s="86"/>
      <c r="AB53" s="171"/>
      <c r="AC53" s="86"/>
      <c r="AD53" s="171"/>
      <c r="AE53" s="86"/>
      <c r="AF53" s="172">
        <f t="shared" si="0"/>
        <v>7200.76</v>
      </c>
      <c r="AG53" s="62">
        <f t="shared" si="1"/>
        <v>0</v>
      </c>
      <c r="IO53" s="2" t="s">
        <v>78</v>
      </c>
      <c r="IY53" s="101" t="s">
        <v>337</v>
      </c>
      <c r="IZ53" s="101" t="s">
        <v>209</v>
      </c>
    </row>
    <row r="54" spans="2:260" x14ac:dyDescent="0.2">
      <c r="B54" s="115">
        <v>45939</v>
      </c>
      <c r="C54" s="116" t="s">
        <v>450</v>
      </c>
      <c r="D54" s="170"/>
      <c r="E54" s="89"/>
      <c r="F54" s="170"/>
      <c r="G54" s="89"/>
      <c r="H54" s="170"/>
      <c r="I54" s="89"/>
      <c r="J54" s="170"/>
      <c r="K54" s="89"/>
      <c r="L54" s="170">
        <v>6499.13</v>
      </c>
      <c r="M54" s="89"/>
      <c r="N54" s="170"/>
      <c r="O54" s="86"/>
      <c r="P54" s="171"/>
      <c r="Q54" s="86"/>
      <c r="R54" s="171"/>
      <c r="S54" s="86"/>
      <c r="T54" s="171"/>
      <c r="U54" s="86"/>
      <c r="V54" s="171"/>
      <c r="W54" s="86"/>
      <c r="X54" s="171"/>
      <c r="Y54" s="86"/>
      <c r="Z54" s="171"/>
      <c r="AA54" s="86"/>
      <c r="AB54" s="171"/>
      <c r="AC54" s="86"/>
      <c r="AD54" s="171"/>
      <c r="AE54" s="86"/>
      <c r="AF54" s="172">
        <f t="shared" si="0"/>
        <v>6499.13</v>
      </c>
      <c r="AG54" s="62">
        <f t="shared" si="1"/>
        <v>0</v>
      </c>
      <c r="IO54" s="2" t="s">
        <v>170</v>
      </c>
      <c r="IY54" s="149" t="s">
        <v>341</v>
      </c>
      <c r="IZ54" s="149" t="s">
        <v>192</v>
      </c>
    </row>
    <row r="55" spans="2:260" x14ac:dyDescent="0.2">
      <c r="B55" s="115">
        <v>45939</v>
      </c>
      <c r="C55" s="116" t="s">
        <v>450</v>
      </c>
      <c r="D55" s="170">
        <v>3801.61</v>
      </c>
      <c r="E55" s="89"/>
      <c r="F55" s="170"/>
      <c r="G55" s="89"/>
      <c r="H55" s="170"/>
      <c r="I55" s="89"/>
      <c r="J55" s="170"/>
      <c r="K55" s="89"/>
      <c r="L55" s="170"/>
      <c r="M55" s="89"/>
      <c r="N55" s="170"/>
      <c r="O55" s="86"/>
      <c r="P55" s="171"/>
      <c r="Q55" s="86"/>
      <c r="R55" s="171"/>
      <c r="S55" s="86"/>
      <c r="T55" s="171"/>
      <c r="U55" s="86"/>
      <c r="V55" s="171"/>
      <c r="W55" s="86"/>
      <c r="X55" s="171"/>
      <c r="Y55" s="86"/>
      <c r="Z55" s="171"/>
      <c r="AA55" s="86"/>
      <c r="AB55" s="171"/>
      <c r="AC55" s="86"/>
      <c r="AD55" s="171"/>
      <c r="AE55" s="86"/>
      <c r="AF55" s="172">
        <f t="shared" si="0"/>
        <v>3801.61</v>
      </c>
      <c r="AG55" s="62">
        <f t="shared" si="1"/>
        <v>0</v>
      </c>
      <c r="IO55" s="2" t="s">
        <v>79</v>
      </c>
      <c r="IY55" s="101" t="s">
        <v>342</v>
      </c>
      <c r="IZ55" s="101" t="s">
        <v>192</v>
      </c>
    </row>
    <row r="56" spans="2:260" x14ac:dyDescent="0.2">
      <c r="B56" s="115"/>
      <c r="C56" s="116"/>
      <c r="D56" s="170"/>
      <c r="E56" s="89"/>
      <c r="F56" s="170"/>
      <c r="G56" s="89"/>
      <c r="H56" s="170"/>
      <c r="I56" s="89"/>
      <c r="J56" s="170"/>
      <c r="K56" s="89"/>
      <c r="L56" s="170"/>
      <c r="M56" s="89"/>
      <c r="N56" s="170"/>
      <c r="O56" s="86"/>
      <c r="P56" s="171"/>
      <c r="Q56" s="86"/>
      <c r="R56" s="171"/>
      <c r="S56" s="86"/>
      <c r="T56" s="171"/>
      <c r="U56" s="86"/>
      <c r="V56" s="171"/>
      <c r="W56" s="86"/>
      <c r="X56" s="171"/>
      <c r="Y56" s="86"/>
      <c r="Z56" s="171"/>
      <c r="AA56" s="86"/>
      <c r="AB56" s="171"/>
      <c r="AC56" s="86"/>
      <c r="AD56" s="171"/>
      <c r="AE56" s="86"/>
      <c r="AF56" s="172">
        <f t="shared" ref="AF56:AF61" si="2">SUM(D56,F56,H56,J56,L56,N56,P56,R56,AB56,AD56,Z56,X56,V56,T56)</f>
        <v>0</v>
      </c>
      <c r="AG56" s="62">
        <f t="shared" ref="AG56:AG61" si="3">SUM(E56,G56,I56,K56,M56,O56,Q56,AA56,AC56,AE56,Y56,W56,U56,S56)</f>
        <v>0</v>
      </c>
      <c r="IO56" s="3" t="s">
        <v>65</v>
      </c>
      <c r="IY56" s="149" t="s">
        <v>338</v>
      </c>
      <c r="IZ56" s="149" t="s">
        <v>211</v>
      </c>
    </row>
    <row r="57" spans="2:260" x14ac:dyDescent="0.2">
      <c r="B57" s="115"/>
      <c r="C57" s="116"/>
      <c r="D57" s="170"/>
      <c r="E57" s="89"/>
      <c r="F57" s="170"/>
      <c r="G57" s="89"/>
      <c r="H57" s="170"/>
      <c r="I57" s="89"/>
      <c r="J57" s="170"/>
      <c r="K57" s="89"/>
      <c r="L57" s="170"/>
      <c r="M57" s="89"/>
      <c r="N57" s="170"/>
      <c r="O57" s="86"/>
      <c r="P57" s="171"/>
      <c r="Q57" s="86"/>
      <c r="R57" s="171"/>
      <c r="S57" s="86"/>
      <c r="T57" s="171"/>
      <c r="U57" s="86"/>
      <c r="V57" s="171"/>
      <c r="W57" s="86"/>
      <c r="X57" s="171"/>
      <c r="Y57" s="86"/>
      <c r="Z57" s="171"/>
      <c r="AA57" s="86"/>
      <c r="AB57" s="171"/>
      <c r="AC57" s="86"/>
      <c r="AD57" s="171"/>
      <c r="AE57" s="86"/>
      <c r="AF57" s="172">
        <f t="shared" si="2"/>
        <v>0</v>
      </c>
      <c r="AG57" s="62">
        <f t="shared" si="3"/>
        <v>0</v>
      </c>
      <c r="IO57" s="3" t="s">
        <v>80</v>
      </c>
      <c r="IY57" s="149" t="s">
        <v>373</v>
      </c>
      <c r="IZ57" s="101" t="s">
        <v>192</v>
      </c>
    </row>
    <row r="58" spans="2:260" x14ac:dyDescent="0.2">
      <c r="B58" s="115"/>
      <c r="C58" s="116"/>
      <c r="D58" s="170"/>
      <c r="E58" s="89"/>
      <c r="F58" s="170"/>
      <c r="G58" s="89"/>
      <c r="H58" s="170"/>
      <c r="I58" s="89"/>
      <c r="J58" s="170"/>
      <c r="K58" s="89"/>
      <c r="L58" s="170"/>
      <c r="M58" s="89"/>
      <c r="N58" s="170"/>
      <c r="O58" s="86"/>
      <c r="P58" s="171"/>
      <c r="Q58" s="86"/>
      <c r="R58" s="171"/>
      <c r="S58" s="86"/>
      <c r="T58" s="171"/>
      <c r="U58" s="86"/>
      <c r="V58" s="171"/>
      <c r="W58" s="86"/>
      <c r="X58" s="171"/>
      <c r="Y58" s="86"/>
      <c r="Z58" s="171"/>
      <c r="AA58" s="86"/>
      <c r="AB58" s="171"/>
      <c r="AC58" s="86"/>
      <c r="AD58" s="171"/>
      <c r="AE58" s="86"/>
      <c r="AF58" s="172">
        <f t="shared" si="2"/>
        <v>0</v>
      </c>
      <c r="AG58" s="62">
        <f t="shared" si="3"/>
        <v>0</v>
      </c>
      <c r="IO58" s="3" t="s">
        <v>66</v>
      </c>
      <c r="IY58" s="101" t="s">
        <v>346</v>
      </c>
      <c r="IZ58" s="149" t="s">
        <v>196</v>
      </c>
    </row>
    <row r="59" spans="2:260" x14ac:dyDescent="0.2">
      <c r="B59" s="115"/>
      <c r="C59" s="116"/>
      <c r="D59" s="170"/>
      <c r="E59" s="89"/>
      <c r="F59" s="170"/>
      <c r="G59" s="89"/>
      <c r="H59" s="170"/>
      <c r="I59" s="89"/>
      <c r="J59" s="170"/>
      <c r="K59" s="89"/>
      <c r="L59" s="170"/>
      <c r="M59" s="89"/>
      <c r="N59" s="170"/>
      <c r="O59" s="86"/>
      <c r="P59" s="171"/>
      <c r="Q59" s="86"/>
      <c r="R59" s="171"/>
      <c r="S59" s="86"/>
      <c r="T59" s="171"/>
      <c r="U59" s="86"/>
      <c r="V59" s="171"/>
      <c r="W59" s="86"/>
      <c r="X59" s="171"/>
      <c r="Y59" s="86"/>
      <c r="Z59" s="171"/>
      <c r="AA59" s="86"/>
      <c r="AB59" s="171"/>
      <c r="AC59" s="86"/>
      <c r="AD59" s="171"/>
      <c r="AE59" s="86"/>
      <c r="AF59" s="172">
        <f t="shared" si="2"/>
        <v>0</v>
      </c>
      <c r="AG59" s="62">
        <f t="shared" si="3"/>
        <v>0</v>
      </c>
      <c r="IO59" s="3" t="s">
        <v>128</v>
      </c>
      <c r="IY59" s="149" t="s">
        <v>320</v>
      </c>
      <c r="IZ59" s="149" t="s">
        <v>196</v>
      </c>
    </row>
    <row r="60" spans="2:260" x14ac:dyDescent="0.2">
      <c r="B60" s="115"/>
      <c r="C60" s="116"/>
      <c r="D60" s="170"/>
      <c r="E60" s="89"/>
      <c r="F60" s="170"/>
      <c r="G60" s="89"/>
      <c r="H60" s="170"/>
      <c r="I60" s="89"/>
      <c r="J60" s="170"/>
      <c r="K60" s="89"/>
      <c r="L60" s="170"/>
      <c r="M60" s="89"/>
      <c r="N60" s="170"/>
      <c r="O60" s="86"/>
      <c r="P60" s="171"/>
      <c r="Q60" s="86"/>
      <c r="R60" s="171"/>
      <c r="S60" s="86"/>
      <c r="T60" s="171"/>
      <c r="U60" s="86"/>
      <c r="V60" s="171"/>
      <c r="W60" s="86"/>
      <c r="X60" s="171"/>
      <c r="Y60" s="86"/>
      <c r="Z60" s="171"/>
      <c r="AA60" s="86"/>
      <c r="AB60" s="171"/>
      <c r="AC60" s="86"/>
      <c r="AD60" s="171"/>
      <c r="AE60" s="86"/>
      <c r="AF60" s="172">
        <f t="shared" si="2"/>
        <v>0</v>
      </c>
      <c r="AG60" s="62">
        <f t="shared" si="3"/>
        <v>0</v>
      </c>
      <c r="IY60" s="101" t="s">
        <v>301</v>
      </c>
      <c r="IZ60" s="101" t="s">
        <v>192</v>
      </c>
    </row>
    <row r="61" spans="2:260" x14ac:dyDescent="0.2">
      <c r="B61" s="117"/>
      <c r="C61" s="118"/>
      <c r="D61" s="173"/>
      <c r="E61" s="93"/>
      <c r="F61" s="173"/>
      <c r="G61" s="93"/>
      <c r="H61" s="173"/>
      <c r="I61" s="93"/>
      <c r="J61" s="173"/>
      <c r="K61" s="93"/>
      <c r="L61" s="173"/>
      <c r="M61" s="93"/>
      <c r="N61" s="173"/>
      <c r="O61" s="90"/>
      <c r="P61" s="174"/>
      <c r="Q61" s="90"/>
      <c r="R61" s="174"/>
      <c r="S61" s="90"/>
      <c r="T61" s="174"/>
      <c r="U61" s="90"/>
      <c r="V61" s="174"/>
      <c r="W61" s="90"/>
      <c r="X61" s="174"/>
      <c r="Y61" s="90"/>
      <c r="Z61" s="174"/>
      <c r="AA61" s="90"/>
      <c r="AB61" s="174"/>
      <c r="AC61" s="90"/>
      <c r="AD61" s="174"/>
      <c r="AE61" s="90"/>
      <c r="AF61" s="175">
        <f t="shared" si="2"/>
        <v>0</v>
      </c>
      <c r="AG61" s="176">
        <f t="shared" si="3"/>
        <v>0</v>
      </c>
      <c r="IY61" s="149" t="s">
        <v>302</v>
      </c>
      <c r="IZ61" s="149" t="s">
        <v>192</v>
      </c>
    </row>
    <row r="62" spans="2:260" ht="12.75" customHeight="1" x14ac:dyDescent="0.2"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IY62" s="101" t="s">
        <v>190</v>
      </c>
      <c r="IZ62" s="149" t="s">
        <v>192</v>
      </c>
    </row>
    <row r="63" spans="2:260" x14ac:dyDescent="0.2">
      <c r="B63" s="300" t="s">
        <v>55</v>
      </c>
      <c r="C63" s="300"/>
      <c r="D63" s="177">
        <f>SUM(D49:D61)</f>
        <v>11002.37</v>
      </c>
      <c r="E63" s="165">
        <f>SUM(E49:E61)</f>
        <v>0</v>
      </c>
      <c r="F63" s="177">
        <f>SUM(F49:F61)</f>
        <v>11001.04</v>
      </c>
      <c r="G63" s="165">
        <f>SUM(G49:G61)</f>
        <v>0</v>
      </c>
      <c r="H63" s="177">
        <f>SUM(H49:H61)</f>
        <v>0</v>
      </c>
      <c r="I63" s="165">
        <f t="shared" ref="I63:AE63" si="4">SUM(I49:I61)</f>
        <v>0</v>
      </c>
      <c r="J63" s="177">
        <f t="shared" si="4"/>
        <v>11000.54</v>
      </c>
      <c r="K63" s="165">
        <f t="shared" si="4"/>
        <v>0</v>
      </c>
      <c r="L63" s="177">
        <f t="shared" si="4"/>
        <v>11001.09</v>
      </c>
      <c r="M63" s="165">
        <f t="shared" si="4"/>
        <v>0</v>
      </c>
      <c r="N63" s="177">
        <f t="shared" si="4"/>
        <v>0</v>
      </c>
      <c r="O63" s="165">
        <f t="shared" si="4"/>
        <v>0</v>
      </c>
      <c r="P63" s="177">
        <f t="shared" si="4"/>
        <v>0</v>
      </c>
      <c r="Q63" s="165">
        <f t="shared" si="4"/>
        <v>0</v>
      </c>
      <c r="R63" s="177">
        <f t="shared" si="4"/>
        <v>0</v>
      </c>
      <c r="S63" s="165">
        <f>SUM(S49:S61)</f>
        <v>0</v>
      </c>
      <c r="T63" s="177">
        <f t="shared" si="4"/>
        <v>0</v>
      </c>
      <c r="U63" s="165">
        <f>SUM(U49:U61)</f>
        <v>0</v>
      </c>
      <c r="V63" s="177">
        <f t="shared" si="4"/>
        <v>0</v>
      </c>
      <c r="W63" s="165">
        <f>SUM(W49:W61)</f>
        <v>0</v>
      </c>
      <c r="X63" s="177">
        <f t="shared" si="4"/>
        <v>0</v>
      </c>
      <c r="Y63" s="165">
        <f>SUM(Y49:Y61)</f>
        <v>0</v>
      </c>
      <c r="Z63" s="177">
        <f t="shared" si="4"/>
        <v>0</v>
      </c>
      <c r="AA63" s="165">
        <f t="shared" si="4"/>
        <v>0</v>
      </c>
      <c r="AB63" s="177">
        <f t="shared" si="4"/>
        <v>0</v>
      </c>
      <c r="AC63" s="165">
        <f t="shared" si="4"/>
        <v>0</v>
      </c>
      <c r="AD63" s="177">
        <f t="shared" si="4"/>
        <v>0</v>
      </c>
      <c r="AE63" s="165">
        <f t="shared" si="4"/>
        <v>0</v>
      </c>
      <c r="AF63" s="177">
        <f>SUM(AF49:AF61)</f>
        <v>44005.04</v>
      </c>
      <c r="AG63" s="165">
        <f>SUM(AG49:AG61)</f>
        <v>0</v>
      </c>
      <c r="IY63" s="149" t="s">
        <v>303</v>
      </c>
      <c r="IZ63" s="149" t="s">
        <v>192</v>
      </c>
    </row>
    <row r="64" spans="2:260" x14ac:dyDescent="0.2">
      <c r="B64" s="206"/>
      <c r="C64" s="34"/>
      <c r="D64" s="178"/>
      <c r="E64" s="152"/>
      <c r="F64" s="178"/>
      <c r="G64" s="152"/>
      <c r="H64" s="178"/>
      <c r="I64" s="152"/>
      <c r="J64" s="178"/>
      <c r="K64" s="152"/>
      <c r="L64" s="178"/>
      <c r="M64" s="152"/>
      <c r="N64" s="178"/>
      <c r="O64" s="152"/>
      <c r="P64" s="152"/>
      <c r="Q64" s="152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178"/>
      <c r="AG64" s="152"/>
      <c r="IY64" s="101" t="s">
        <v>377</v>
      </c>
      <c r="IZ64" s="149" t="s">
        <v>192</v>
      </c>
    </row>
    <row r="65" spans="2:260" x14ac:dyDescent="0.2">
      <c r="B65" s="225"/>
      <c r="C65" s="34"/>
      <c r="D65" s="308" t="s">
        <v>51</v>
      </c>
      <c r="E65" s="309"/>
      <c r="F65" s="309"/>
      <c r="G65" s="309"/>
      <c r="H65" s="309"/>
      <c r="I65" s="309"/>
      <c r="J65" s="309"/>
      <c r="K65" s="309"/>
      <c r="L65" s="309"/>
      <c r="M65" s="309"/>
      <c r="N65" s="309"/>
      <c r="O65" s="309"/>
      <c r="P65" s="309"/>
      <c r="Q65" s="309"/>
      <c r="R65" s="309"/>
      <c r="S65" s="309"/>
      <c r="T65" s="309"/>
      <c r="U65" s="309"/>
      <c r="V65" s="309"/>
      <c r="W65" s="309"/>
      <c r="X65" s="309"/>
      <c r="Y65" s="309"/>
      <c r="Z65" s="309"/>
      <c r="AA65" s="309"/>
      <c r="AB65" s="309"/>
      <c r="AC65" s="309"/>
      <c r="AD65" s="309"/>
      <c r="AE65" s="309"/>
      <c r="AF65" s="309"/>
      <c r="AG65" s="310"/>
      <c r="IY65" s="101" t="s">
        <v>207</v>
      </c>
      <c r="IZ65" s="149" t="s">
        <v>209</v>
      </c>
    </row>
    <row r="66" spans="2:260" x14ac:dyDescent="0.2">
      <c r="B66" s="206"/>
      <c r="C66" s="34"/>
      <c r="D66" s="302" t="str">
        <f>IF($D$46="","",$D$46)</f>
        <v>BODEGA N°1</v>
      </c>
      <c r="E66" s="303"/>
      <c r="F66" s="302" t="str">
        <f>IF($F$46="","",$F$46)</f>
        <v>BODEGA N°2</v>
      </c>
      <c r="G66" s="303"/>
      <c r="H66" s="302" t="str">
        <f>IF($H$46="","",$H$46)</f>
        <v>BODEGA N°3</v>
      </c>
      <c r="I66" s="303"/>
      <c r="J66" s="302" t="str">
        <f>IF($J$46="","",$J$46)</f>
        <v>BODEGA N°4</v>
      </c>
      <c r="K66" s="303"/>
      <c r="L66" s="302" t="str">
        <f>IF($L$46="","",$L$46)</f>
        <v>BODEGA N°5</v>
      </c>
      <c r="M66" s="303"/>
      <c r="N66" s="302" t="str">
        <f>IF($N$46="","",$N$46)</f>
        <v/>
      </c>
      <c r="O66" s="303"/>
      <c r="P66" s="302" t="str">
        <f>IF($P$46="","",$P$46)</f>
        <v/>
      </c>
      <c r="Q66" s="303"/>
      <c r="R66" s="302" t="str">
        <f>IF($R$46="","",$R$46)</f>
        <v/>
      </c>
      <c r="S66" s="303"/>
      <c r="T66" s="302" t="str">
        <f>IF($T$46="","",$T$46)</f>
        <v/>
      </c>
      <c r="U66" s="303"/>
      <c r="V66" s="302" t="str">
        <f>IF($V$46="","",$V$46)</f>
        <v/>
      </c>
      <c r="W66" s="303"/>
      <c r="X66" s="302" t="str">
        <f>IF($X$46="","",$X$46)</f>
        <v/>
      </c>
      <c r="Y66" s="303"/>
      <c r="Z66" s="302" t="str">
        <f>IF($Z$46="","",$Z$46)</f>
        <v/>
      </c>
      <c r="AA66" s="303"/>
      <c r="AB66" s="302" t="str">
        <f>IF($AB$46="","",$AB$46)</f>
        <v/>
      </c>
      <c r="AC66" s="303"/>
      <c r="AD66" s="302" t="str">
        <f>IF($AD$46="","",$AD$46)</f>
        <v/>
      </c>
      <c r="AE66" s="303"/>
      <c r="AF66" s="31"/>
      <c r="AG66" s="4"/>
      <c r="IY66" s="101" t="s">
        <v>304</v>
      </c>
      <c r="IZ66" s="101" t="s">
        <v>192</v>
      </c>
    </row>
    <row r="67" spans="2:260" x14ac:dyDescent="0.2">
      <c r="B67" s="206"/>
      <c r="C67" s="34"/>
      <c r="D67" s="302" t="str">
        <f>IF($D$47="","",$D$47)</f>
        <v>EMBARQUE  - LOTE 25105</v>
      </c>
      <c r="E67" s="303"/>
      <c r="F67" s="302" t="str">
        <f>IF($F$47="","",$F$47)</f>
        <v>EMBARQUE - LOTE 25106</v>
      </c>
      <c r="G67" s="303"/>
      <c r="H67" s="302" t="str">
        <f>IF($H$47="","",$H$47)</f>
        <v xml:space="preserve">EMBARQUE </v>
      </c>
      <c r="I67" s="303"/>
      <c r="J67" s="302" t="str">
        <f>IF($J$47="","",$J$47)</f>
        <v>EMBARQUE - LOTE 25107</v>
      </c>
      <c r="K67" s="303"/>
      <c r="L67" s="302" t="str">
        <f>IF($L$47="","",$L$47)</f>
        <v>EMBARQUE - LOTE 25108</v>
      </c>
      <c r="M67" s="303"/>
      <c r="N67" s="302" t="str">
        <f>IF($N$47="","",$N$47)</f>
        <v/>
      </c>
      <c r="O67" s="303"/>
      <c r="P67" s="302" t="str">
        <f>IF($P$47="","",$P$47)</f>
        <v/>
      </c>
      <c r="Q67" s="303"/>
      <c r="R67" s="302" t="str">
        <f>IF($R$47="","",$R$47)</f>
        <v/>
      </c>
      <c r="S67" s="303"/>
      <c r="T67" s="302" t="str">
        <f>IF($T$47="","",$T$47)</f>
        <v/>
      </c>
      <c r="U67" s="303"/>
      <c r="V67" s="302" t="str">
        <f>IF($V$47="","",$V$47)</f>
        <v/>
      </c>
      <c r="W67" s="303"/>
      <c r="X67" s="302" t="str">
        <f>IF($X$47="","",$X$47)</f>
        <v/>
      </c>
      <c r="Y67" s="303"/>
      <c r="Z67" s="302" t="str">
        <f>IF($Z$47="","",$Z$47)</f>
        <v/>
      </c>
      <c r="AA67" s="303"/>
      <c r="AB67" s="302" t="str">
        <f>IF($AB$47="","",$AB$47)</f>
        <v/>
      </c>
      <c r="AC67" s="303"/>
      <c r="AD67" s="302" t="str">
        <f>IF($AD$47="","",$AD$47)</f>
        <v/>
      </c>
      <c r="AE67" s="303"/>
      <c r="AF67" s="388" t="s">
        <v>9</v>
      </c>
      <c r="AG67" s="389"/>
      <c r="IY67" s="149" t="s">
        <v>326</v>
      </c>
      <c r="IZ67" s="149" t="s">
        <v>196</v>
      </c>
    </row>
    <row r="68" spans="2:260" x14ac:dyDescent="0.2">
      <c r="B68" s="225"/>
      <c r="C68" s="34"/>
      <c r="D68" s="80" t="s">
        <v>10</v>
      </c>
      <c r="E68" s="38" t="s">
        <v>11</v>
      </c>
      <c r="F68" s="69" t="s">
        <v>10</v>
      </c>
      <c r="G68" s="38" t="s">
        <v>11</v>
      </c>
      <c r="H68" s="69" t="s">
        <v>10</v>
      </c>
      <c r="I68" s="38" t="s">
        <v>11</v>
      </c>
      <c r="J68" s="69" t="s">
        <v>10</v>
      </c>
      <c r="K68" s="38" t="s">
        <v>11</v>
      </c>
      <c r="L68" s="69" t="s">
        <v>10</v>
      </c>
      <c r="M68" s="38" t="s">
        <v>11</v>
      </c>
      <c r="N68" s="69" t="s">
        <v>10</v>
      </c>
      <c r="O68" s="38" t="s">
        <v>11</v>
      </c>
      <c r="P68" s="69" t="s">
        <v>10</v>
      </c>
      <c r="Q68" s="38" t="s">
        <v>11</v>
      </c>
      <c r="R68" s="69" t="s">
        <v>10</v>
      </c>
      <c r="S68" s="38" t="s">
        <v>11</v>
      </c>
      <c r="T68" s="69" t="s">
        <v>10</v>
      </c>
      <c r="U68" s="38" t="s">
        <v>11</v>
      </c>
      <c r="V68" s="69" t="s">
        <v>10</v>
      </c>
      <c r="W68" s="38" t="s">
        <v>11</v>
      </c>
      <c r="X68" s="69" t="s">
        <v>10</v>
      </c>
      <c r="Y68" s="38" t="s">
        <v>11</v>
      </c>
      <c r="Z68" s="69" t="s">
        <v>10</v>
      </c>
      <c r="AA68" s="38" t="s">
        <v>11</v>
      </c>
      <c r="AB68" s="69" t="s">
        <v>10</v>
      </c>
      <c r="AC68" s="38" t="s">
        <v>11</v>
      </c>
      <c r="AD68" s="69" t="s">
        <v>10</v>
      </c>
      <c r="AE68" s="38" t="s">
        <v>11</v>
      </c>
      <c r="AF68" s="79" t="s">
        <v>10</v>
      </c>
      <c r="AG68" s="41" t="s">
        <v>11</v>
      </c>
      <c r="IY68" s="149" t="s">
        <v>323</v>
      </c>
      <c r="IZ68" s="149" t="s">
        <v>196</v>
      </c>
    </row>
    <row r="69" spans="2:260" x14ac:dyDescent="0.2">
      <c r="B69" s="34"/>
      <c r="C69" s="34"/>
      <c r="D69" s="168"/>
      <c r="E69" s="44"/>
      <c r="F69" s="166"/>
      <c r="G69" s="44"/>
      <c r="H69" s="166"/>
      <c r="I69" s="44"/>
      <c r="J69" s="166">
        <v>4.42</v>
      </c>
      <c r="K69" s="44"/>
      <c r="L69" s="166"/>
      <c r="M69" s="44"/>
      <c r="N69" s="166"/>
      <c r="O69" s="83"/>
      <c r="P69" s="167"/>
      <c r="Q69" s="83"/>
      <c r="R69" s="167"/>
      <c r="S69" s="83"/>
      <c r="T69" s="167"/>
      <c r="U69" s="83"/>
      <c r="V69" s="167"/>
      <c r="W69" s="83"/>
      <c r="X69" s="167"/>
      <c r="Y69" s="83"/>
      <c r="Z69" s="167"/>
      <c r="AA69" s="83"/>
      <c r="AB69" s="167"/>
      <c r="AC69" s="83"/>
      <c r="AD69" s="167"/>
      <c r="AE69" s="83"/>
      <c r="AF69" s="168">
        <f>SUM(D69,F69,H69,J69,L69,N69,P69,R69,AB69,AD69,Z69,X69,V69,T69)</f>
        <v>4.42</v>
      </c>
      <c r="AG69" s="169">
        <f>SUM(E69,G69,I69,K69,M69,O69,Q69,AA69,AC69,AE69,Y69,W69,U69,S69)</f>
        <v>0</v>
      </c>
      <c r="IT69" s="151"/>
      <c r="IU69" s="151"/>
      <c r="IY69" s="149" t="s">
        <v>305</v>
      </c>
      <c r="IZ69" s="149" t="s">
        <v>192</v>
      </c>
    </row>
    <row r="70" spans="2:260" x14ac:dyDescent="0.2">
      <c r="B70" s="34"/>
      <c r="C70" s="34"/>
      <c r="D70" s="172"/>
      <c r="E70" s="89"/>
      <c r="F70" s="170">
        <v>5.42</v>
      </c>
      <c r="G70" s="89"/>
      <c r="H70" s="170"/>
      <c r="I70" s="89"/>
      <c r="J70" s="170"/>
      <c r="K70" s="89"/>
      <c r="L70" s="170"/>
      <c r="M70" s="89"/>
      <c r="N70" s="170"/>
      <c r="O70" s="86"/>
      <c r="P70" s="171"/>
      <c r="Q70" s="86"/>
      <c r="R70" s="171"/>
      <c r="S70" s="86"/>
      <c r="T70" s="171"/>
      <c r="U70" s="86"/>
      <c r="V70" s="171"/>
      <c r="W70" s="86"/>
      <c r="X70" s="171"/>
      <c r="Y70" s="86"/>
      <c r="Z70" s="171"/>
      <c r="AA70" s="86"/>
      <c r="AB70" s="171"/>
      <c r="AC70" s="86"/>
      <c r="AD70" s="171"/>
      <c r="AE70" s="86"/>
      <c r="AF70" s="172">
        <f>SUM(D70,F70,H70,J70,L70,N70,P70,R70,AB70,AD70,Z70,X70,V70,T70)</f>
        <v>5.42</v>
      </c>
      <c r="AG70" s="62">
        <f>SUM(E70,G70,I70,K70,M70,O70,Q70,AA70,AC70,AE70,Y70,W70,U70,S70)</f>
        <v>0</v>
      </c>
      <c r="IT70" s="151"/>
      <c r="IU70" s="151"/>
      <c r="IY70" s="149" t="s">
        <v>306</v>
      </c>
      <c r="IZ70" s="149" t="s">
        <v>192</v>
      </c>
    </row>
    <row r="71" spans="2:260" x14ac:dyDescent="0.2">
      <c r="B71" s="34"/>
      <c r="C71" s="34"/>
      <c r="D71" s="172"/>
      <c r="E71" s="89"/>
      <c r="F71" s="170"/>
      <c r="G71" s="89"/>
      <c r="H71" s="170"/>
      <c r="I71" s="89"/>
      <c r="J71" s="170">
        <v>0.92</v>
      </c>
      <c r="K71" s="89"/>
      <c r="L71" s="170"/>
      <c r="M71" s="89"/>
      <c r="N71" s="170"/>
      <c r="O71" s="86"/>
      <c r="P71" s="171"/>
      <c r="Q71" s="86"/>
      <c r="R71" s="171"/>
      <c r="S71" s="86"/>
      <c r="T71" s="171"/>
      <c r="U71" s="86"/>
      <c r="V71" s="171"/>
      <c r="W71" s="86"/>
      <c r="X71" s="171"/>
      <c r="Y71" s="86"/>
      <c r="Z71" s="171"/>
      <c r="AA71" s="86"/>
      <c r="AB71" s="171"/>
      <c r="AC71" s="86"/>
      <c r="AD71" s="171"/>
      <c r="AE71" s="86"/>
      <c r="AF71" s="172">
        <f t="shared" ref="AF71:AF81" si="5">SUM(D71,F71,H71,J71,L71,N71,P71,R71,AB71,AD71,Z71,X71,V71,T71)</f>
        <v>0.92</v>
      </c>
      <c r="AG71" s="62">
        <f t="shared" ref="AG71:AG81" si="6">SUM(E71,G71,I71,K71,M71,O71,Q71,AA71,AC71,AE71,Y71,W71,U71,S71)</f>
        <v>0</v>
      </c>
      <c r="IT71" s="151"/>
      <c r="IU71" s="151"/>
      <c r="IY71" s="149" t="s">
        <v>321</v>
      </c>
      <c r="IZ71" s="149" t="s">
        <v>196</v>
      </c>
    </row>
    <row r="72" spans="2:260" x14ac:dyDescent="0.2">
      <c r="B72" s="34"/>
      <c r="C72" s="34"/>
      <c r="D72" s="172"/>
      <c r="E72" s="89"/>
      <c r="F72" s="170"/>
      <c r="G72" s="89"/>
      <c r="H72" s="170"/>
      <c r="I72" s="89"/>
      <c r="J72" s="170"/>
      <c r="K72" s="89"/>
      <c r="L72" s="170">
        <v>2.08</v>
      </c>
      <c r="M72" s="89"/>
      <c r="N72" s="170"/>
      <c r="O72" s="86"/>
      <c r="P72" s="171"/>
      <c r="Q72" s="86"/>
      <c r="R72" s="171"/>
      <c r="S72" s="86"/>
      <c r="T72" s="171"/>
      <c r="U72" s="86"/>
      <c r="V72" s="171"/>
      <c r="W72" s="86"/>
      <c r="X72" s="171"/>
      <c r="Y72" s="86"/>
      <c r="Z72" s="171"/>
      <c r="AA72" s="86"/>
      <c r="AB72" s="171"/>
      <c r="AC72" s="86"/>
      <c r="AD72" s="171"/>
      <c r="AE72" s="86"/>
      <c r="AF72" s="172">
        <f t="shared" si="5"/>
        <v>2.08</v>
      </c>
      <c r="AG72" s="62">
        <f t="shared" si="6"/>
        <v>0</v>
      </c>
      <c r="IT72" s="151"/>
      <c r="IU72" s="151"/>
      <c r="IY72" s="149" t="s">
        <v>307</v>
      </c>
      <c r="IZ72" s="149" t="s">
        <v>192</v>
      </c>
    </row>
    <row r="73" spans="2:260" x14ac:dyDescent="0.2">
      <c r="B73" s="34"/>
      <c r="C73" s="34"/>
      <c r="D73" s="172">
        <v>3.42</v>
      </c>
      <c r="E73" s="89"/>
      <c r="F73" s="170"/>
      <c r="G73" s="89"/>
      <c r="H73" s="170"/>
      <c r="I73" s="89"/>
      <c r="J73" s="251"/>
      <c r="K73" s="89"/>
      <c r="L73" s="170"/>
      <c r="M73" s="89"/>
      <c r="N73" s="170"/>
      <c r="O73" s="86"/>
      <c r="P73" s="171"/>
      <c r="Q73" s="86"/>
      <c r="R73" s="171"/>
      <c r="S73" s="86"/>
      <c r="T73" s="171"/>
      <c r="U73" s="86"/>
      <c r="V73" s="171"/>
      <c r="W73" s="86"/>
      <c r="X73" s="171"/>
      <c r="Y73" s="86"/>
      <c r="Z73" s="171"/>
      <c r="AA73" s="86"/>
      <c r="AB73" s="171"/>
      <c r="AC73" s="86"/>
      <c r="AD73" s="171"/>
      <c r="AE73" s="86"/>
      <c r="AF73" s="172">
        <f t="shared" si="5"/>
        <v>3.42</v>
      </c>
      <c r="AG73" s="62">
        <f t="shared" si="6"/>
        <v>0</v>
      </c>
      <c r="IT73" s="151"/>
      <c r="IU73" s="151"/>
      <c r="IY73" s="149" t="s">
        <v>327</v>
      </c>
      <c r="IZ73" s="149" t="s">
        <v>196</v>
      </c>
    </row>
    <row r="74" spans="2:260" x14ac:dyDescent="0.2">
      <c r="B74" s="34"/>
      <c r="C74" s="34"/>
      <c r="D74" s="172"/>
      <c r="E74" s="89"/>
      <c r="F74" s="170"/>
      <c r="G74" s="89"/>
      <c r="H74" s="170"/>
      <c r="I74" s="89"/>
      <c r="J74" s="170"/>
      <c r="K74" s="89"/>
      <c r="L74" s="170">
        <v>2.92</v>
      </c>
      <c r="M74" s="89"/>
      <c r="N74" s="170"/>
      <c r="O74" s="86"/>
      <c r="P74" s="171"/>
      <c r="Q74" s="86"/>
      <c r="R74" s="171"/>
      <c r="S74" s="86"/>
      <c r="T74" s="171"/>
      <c r="U74" s="86"/>
      <c r="V74" s="171"/>
      <c r="W74" s="86"/>
      <c r="X74" s="171"/>
      <c r="Y74" s="86"/>
      <c r="Z74" s="171"/>
      <c r="AA74" s="86"/>
      <c r="AB74" s="171"/>
      <c r="AC74" s="86"/>
      <c r="AD74" s="171"/>
      <c r="AE74" s="86"/>
      <c r="AF74" s="172">
        <f t="shared" si="5"/>
        <v>2.92</v>
      </c>
      <c r="AG74" s="62">
        <f t="shared" si="6"/>
        <v>0</v>
      </c>
      <c r="IT74" s="151"/>
      <c r="IU74" s="151"/>
      <c r="IY74" s="149" t="s">
        <v>308</v>
      </c>
      <c r="IZ74" s="101" t="s">
        <v>192</v>
      </c>
    </row>
    <row r="75" spans="2:260" x14ac:dyDescent="0.2">
      <c r="B75" s="34"/>
      <c r="C75" s="34"/>
      <c r="D75" s="172">
        <v>1.83</v>
      </c>
      <c r="E75" s="89"/>
      <c r="F75" s="170"/>
      <c r="G75" s="89"/>
      <c r="H75" s="170"/>
      <c r="I75" s="89"/>
      <c r="J75" s="170"/>
      <c r="K75" s="89"/>
      <c r="L75" s="170"/>
      <c r="M75" s="89"/>
      <c r="N75" s="170"/>
      <c r="O75" s="86"/>
      <c r="P75" s="171"/>
      <c r="Q75" s="86"/>
      <c r="R75" s="171"/>
      <c r="S75" s="86"/>
      <c r="T75" s="171"/>
      <c r="U75" s="86"/>
      <c r="V75" s="171"/>
      <c r="W75" s="86"/>
      <c r="X75" s="171"/>
      <c r="Y75" s="86"/>
      <c r="Z75" s="171"/>
      <c r="AA75" s="86"/>
      <c r="AB75" s="171"/>
      <c r="AC75" s="86"/>
      <c r="AD75" s="171"/>
      <c r="AE75" s="86"/>
      <c r="AF75" s="172">
        <f t="shared" si="5"/>
        <v>1.83</v>
      </c>
      <c r="AG75" s="62">
        <f t="shared" si="6"/>
        <v>0</v>
      </c>
      <c r="IT75" s="151"/>
      <c r="IU75" s="151"/>
      <c r="IY75" s="149" t="s">
        <v>361</v>
      </c>
      <c r="IZ75" s="149" t="s">
        <v>196</v>
      </c>
    </row>
    <row r="76" spans="2:260" x14ac:dyDescent="0.2">
      <c r="B76" s="34"/>
      <c r="C76" s="34"/>
      <c r="D76" s="172"/>
      <c r="E76" s="89"/>
      <c r="F76" s="170"/>
      <c r="G76" s="89"/>
      <c r="H76" s="170"/>
      <c r="I76" s="89"/>
      <c r="J76" s="170"/>
      <c r="K76" s="89"/>
      <c r="L76" s="170"/>
      <c r="M76" s="89"/>
      <c r="N76" s="170"/>
      <c r="O76" s="86"/>
      <c r="P76" s="171"/>
      <c r="Q76" s="86"/>
      <c r="R76" s="171"/>
      <c r="S76" s="86"/>
      <c r="T76" s="171"/>
      <c r="U76" s="86"/>
      <c r="V76" s="171"/>
      <c r="W76" s="86"/>
      <c r="X76" s="171"/>
      <c r="Y76" s="86"/>
      <c r="Z76" s="171"/>
      <c r="AA76" s="86"/>
      <c r="AB76" s="171"/>
      <c r="AC76" s="86"/>
      <c r="AD76" s="171"/>
      <c r="AE76" s="86"/>
      <c r="AF76" s="172">
        <f t="shared" si="5"/>
        <v>0</v>
      </c>
      <c r="AG76" s="62">
        <f t="shared" si="6"/>
        <v>0</v>
      </c>
      <c r="IY76" s="150" t="s">
        <v>309</v>
      </c>
      <c r="IZ76" s="101" t="s">
        <v>192</v>
      </c>
    </row>
    <row r="77" spans="2:260" x14ac:dyDescent="0.2">
      <c r="B77" s="34"/>
      <c r="C77" s="34"/>
      <c r="D77" s="172"/>
      <c r="E77" s="89"/>
      <c r="F77" s="170"/>
      <c r="G77" s="89"/>
      <c r="H77" s="170"/>
      <c r="I77" s="89"/>
      <c r="J77" s="170"/>
      <c r="K77" s="89"/>
      <c r="L77" s="170"/>
      <c r="M77" s="89"/>
      <c r="N77" s="170"/>
      <c r="O77" s="86"/>
      <c r="P77" s="171"/>
      <c r="Q77" s="86"/>
      <c r="R77" s="171"/>
      <c r="S77" s="86"/>
      <c r="T77" s="171"/>
      <c r="U77" s="86"/>
      <c r="V77" s="171"/>
      <c r="W77" s="86"/>
      <c r="X77" s="171"/>
      <c r="Y77" s="86"/>
      <c r="Z77" s="171"/>
      <c r="AA77" s="86"/>
      <c r="AB77" s="171"/>
      <c r="AC77" s="86"/>
      <c r="AD77" s="171"/>
      <c r="AE77" s="86"/>
      <c r="AF77" s="172">
        <f t="shared" si="5"/>
        <v>0</v>
      </c>
      <c r="AG77" s="62">
        <f t="shared" si="6"/>
        <v>0</v>
      </c>
      <c r="IY77" s="150" t="s">
        <v>310</v>
      </c>
      <c r="IZ77" s="101" t="s">
        <v>192</v>
      </c>
    </row>
    <row r="78" spans="2:260" x14ac:dyDescent="0.2">
      <c r="B78" s="34"/>
      <c r="C78" s="34"/>
      <c r="D78" s="172"/>
      <c r="E78" s="89"/>
      <c r="F78" s="170"/>
      <c r="G78" s="89"/>
      <c r="H78" s="170"/>
      <c r="I78" s="89"/>
      <c r="J78" s="170"/>
      <c r="K78" s="89"/>
      <c r="L78" s="170"/>
      <c r="M78" s="89"/>
      <c r="N78" s="170"/>
      <c r="O78" s="86"/>
      <c r="P78" s="171"/>
      <c r="Q78" s="86"/>
      <c r="R78" s="171"/>
      <c r="S78" s="86"/>
      <c r="T78" s="171"/>
      <c r="U78" s="86"/>
      <c r="V78" s="171"/>
      <c r="W78" s="86"/>
      <c r="X78" s="171"/>
      <c r="Y78" s="86"/>
      <c r="Z78" s="171"/>
      <c r="AA78" s="86"/>
      <c r="AB78" s="171"/>
      <c r="AC78" s="86"/>
      <c r="AD78" s="171"/>
      <c r="AE78" s="86"/>
      <c r="AF78" s="172">
        <f t="shared" si="5"/>
        <v>0</v>
      </c>
      <c r="AG78" s="62">
        <f t="shared" si="6"/>
        <v>0</v>
      </c>
      <c r="IY78" s="149" t="s">
        <v>328</v>
      </c>
      <c r="IZ78" s="101" t="s">
        <v>196</v>
      </c>
    </row>
    <row r="79" spans="2:260" x14ac:dyDescent="0.2">
      <c r="B79" s="34"/>
      <c r="C79" s="34"/>
      <c r="D79" s="172"/>
      <c r="E79" s="89"/>
      <c r="F79" s="170"/>
      <c r="G79" s="89"/>
      <c r="H79" s="170"/>
      <c r="I79" s="89"/>
      <c r="J79" s="170"/>
      <c r="K79" s="89"/>
      <c r="L79" s="170"/>
      <c r="M79" s="89"/>
      <c r="N79" s="170"/>
      <c r="O79" s="86"/>
      <c r="P79" s="171"/>
      <c r="Q79" s="86"/>
      <c r="R79" s="171"/>
      <c r="S79" s="86"/>
      <c r="T79" s="171"/>
      <c r="U79" s="86"/>
      <c r="V79" s="171"/>
      <c r="W79" s="86"/>
      <c r="X79" s="171"/>
      <c r="Y79" s="86"/>
      <c r="Z79" s="171"/>
      <c r="AA79" s="86"/>
      <c r="AB79" s="171"/>
      <c r="AC79" s="86"/>
      <c r="AD79" s="171"/>
      <c r="AE79" s="86"/>
      <c r="AF79" s="172">
        <f t="shared" si="5"/>
        <v>0</v>
      </c>
      <c r="AG79" s="62">
        <f t="shared" si="6"/>
        <v>0</v>
      </c>
      <c r="IY79" s="149" t="s">
        <v>311</v>
      </c>
      <c r="IZ79" s="149" t="s">
        <v>192</v>
      </c>
    </row>
    <row r="80" spans="2:260" x14ac:dyDescent="0.2">
      <c r="B80" s="34"/>
      <c r="C80" s="34"/>
      <c r="D80" s="172"/>
      <c r="E80" s="89"/>
      <c r="F80" s="170"/>
      <c r="G80" s="89"/>
      <c r="H80" s="170"/>
      <c r="I80" s="89"/>
      <c r="J80" s="170"/>
      <c r="K80" s="89"/>
      <c r="L80" s="170"/>
      <c r="M80" s="89"/>
      <c r="N80" s="170"/>
      <c r="O80" s="86"/>
      <c r="P80" s="171"/>
      <c r="Q80" s="86"/>
      <c r="R80" s="171"/>
      <c r="S80" s="86"/>
      <c r="T80" s="171"/>
      <c r="U80" s="86"/>
      <c r="V80" s="171"/>
      <c r="W80" s="86"/>
      <c r="X80" s="171"/>
      <c r="Y80" s="86"/>
      <c r="Z80" s="171"/>
      <c r="AA80" s="86"/>
      <c r="AB80" s="171"/>
      <c r="AC80" s="86"/>
      <c r="AD80" s="171"/>
      <c r="AE80" s="86"/>
      <c r="AF80" s="172">
        <f t="shared" si="5"/>
        <v>0</v>
      </c>
      <c r="AG80" s="62">
        <f t="shared" si="6"/>
        <v>0</v>
      </c>
      <c r="IY80" s="149" t="s">
        <v>329</v>
      </c>
      <c r="IZ80" s="149" t="s">
        <v>196</v>
      </c>
    </row>
    <row r="81" spans="2:260" x14ac:dyDescent="0.2">
      <c r="B81" s="34"/>
      <c r="C81" s="34"/>
      <c r="D81" s="175"/>
      <c r="E81" s="93"/>
      <c r="F81" s="173"/>
      <c r="G81" s="93"/>
      <c r="H81" s="173"/>
      <c r="I81" s="93"/>
      <c r="J81" s="173"/>
      <c r="K81" s="93"/>
      <c r="L81" s="173"/>
      <c r="M81" s="93"/>
      <c r="N81" s="173"/>
      <c r="O81" s="90"/>
      <c r="P81" s="174"/>
      <c r="Q81" s="90"/>
      <c r="R81" s="174"/>
      <c r="S81" s="90"/>
      <c r="T81" s="174"/>
      <c r="U81" s="90"/>
      <c r="V81" s="174"/>
      <c r="W81" s="90"/>
      <c r="X81" s="174"/>
      <c r="Y81" s="90"/>
      <c r="Z81" s="174"/>
      <c r="AA81" s="90"/>
      <c r="AB81" s="174"/>
      <c r="AC81" s="90"/>
      <c r="AD81" s="174"/>
      <c r="AE81" s="90"/>
      <c r="AF81" s="175">
        <f t="shared" si="5"/>
        <v>0</v>
      </c>
      <c r="AG81" s="176">
        <f t="shared" si="6"/>
        <v>0</v>
      </c>
      <c r="IY81" s="149" t="s">
        <v>312</v>
      </c>
      <c r="IZ81" s="149" t="s">
        <v>192</v>
      </c>
    </row>
    <row r="82" spans="2:260" ht="9.75" customHeight="1" x14ac:dyDescent="0.2"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IT82" s="151"/>
      <c r="IU82" s="151"/>
      <c r="IY82" s="101" t="s">
        <v>313</v>
      </c>
      <c r="IZ82" s="101" t="s">
        <v>192</v>
      </c>
    </row>
    <row r="83" spans="2:260" x14ac:dyDescent="0.2">
      <c r="B83" s="34"/>
      <c r="C83" s="34"/>
      <c r="D83" s="177">
        <f t="shared" ref="D83:AG83" si="7">SUM(D69:D81)</f>
        <v>5.25</v>
      </c>
      <c r="E83" s="164">
        <f t="shared" si="7"/>
        <v>0</v>
      </c>
      <c r="F83" s="177">
        <f>SUM(F69:F81)</f>
        <v>5.42</v>
      </c>
      <c r="G83" s="164">
        <f t="shared" si="7"/>
        <v>0</v>
      </c>
      <c r="H83" s="177">
        <f t="shared" si="7"/>
        <v>0</v>
      </c>
      <c r="I83" s="164">
        <f t="shared" si="7"/>
        <v>0</v>
      </c>
      <c r="J83" s="177">
        <f t="shared" si="7"/>
        <v>5.34</v>
      </c>
      <c r="K83" s="164">
        <f t="shared" si="7"/>
        <v>0</v>
      </c>
      <c r="L83" s="177">
        <f t="shared" si="7"/>
        <v>5</v>
      </c>
      <c r="M83" s="164">
        <f t="shared" si="7"/>
        <v>0</v>
      </c>
      <c r="N83" s="177">
        <f t="shared" si="7"/>
        <v>0</v>
      </c>
      <c r="O83" s="164">
        <f t="shared" si="7"/>
        <v>0</v>
      </c>
      <c r="P83" s="177">
        <f t="shared" si="7"/>
        <v>0</v>
      </c>
      <c r="Q83" s="164">
        <f t="shared" si="7"/>
        <v>0</v>
      </c>
      <c r="R83" s="177">
        <f t="shared" ref="R83:AA83" si="8">SUM(R69:R81)</f>
        <v>0</v>
      </c>
      <c r="S83" s="164">
        <f t="shared" si="8"/>
        <v>0</v>
      </c>
      <c r="T83" s="177">
        <f t="shared" si="8"/>
        <v>0</v>
      </c>
      <c r="U83" s="164">
        <f t="shared" si="8"/>
        <v>0</v>
      </c>
      <c r="V83" s="177">
        <f t="shared" si="8"/>
        <v>0</v>
      </c>
      <c r="W83" s="164">
        <f t="shared" si="8"/>
        <v>0</v>
      </c>
      <c r="X83" s="177">
        <f t="shared" si="8"/>
        <v>0</v>
      </c>
      <c r="Y83" s="164">
        <f t="shared" si="8"/>
        <v>0</v>
      </c>
      <c r="Z83" s="177">
        <f t="shared" si="8"/>
        <v>0</v>
      </c>
      <c r="AA83" s="164">
        <f t="shared" si="8"/>
        <v>0</v>
      </c>
      <c r="AB83" s="177">
        <f t="shared" si="7"/>
        <v>0</v>
      </c>
      <c r="AC83" s="164">
        <f t="shared" si="7"/>
        <v>0</v>
      </c>
      <c r="AD83" s="177">
        <f t="shared" si="7"/>
        <v>0</v>
      </c>
      <c r="AE83" s="165">
        <f t="shared" si="7"/>
        <v>0</v>
      </c>
      <c r="AF83" s="177">
        <f t="shared" si="7"/>
        <v>21.009999999999998</v>
      </c>
      <c r="AG83" s="165">
        <f t="shared" si="7"/>
        <v>0</v>
      </c>
      <c r="IT83" s="151"/>
      <c r="IU83" s="151"/>
      <c r="IY83" s="149" t="s">
        <v>316</v>
      </c>
      <c r="IZ83" s="149" t="s">
        <v>196</v>
      </c>
    </row>
    <row r="84" spans="2:260" x14ac:dyDescent="0.2">
      <c r="B84" s="34"/>
      <c r="C84" s="34"/>
      <c r="D84" s="178"/>
      <c r="E84" s="152"/>
      <c r="F84" s="178"/>
      <c r="G84" s="152"/>
      <c r="H84" s="178"/>
      <c r="I84" s="152"/>
      <c r="J84" s="178"/>
      <c r="K84" s="152"/>
      <c r="L84" s="178"/>
      <c r="M84" s="152"/>
      <c r="N84" s="178"/>
      <c r="O84" s="152"/>
      <c r="P84" s="152"/>
      <c r="Q84" s="152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178"/>
      <c r="AE84" s="152"/>
      <c r="AF84" s="34"/>
      <c r="AG84" s="34"/>
      <c r="IT84" s="151"/>
      <c r="IU84" s="151"/>
      <c r="IY84" s="149" t="s">
        <v>330</v>
      </c>
      <c r="IZ84" s="149" t="s">
        <v>196</v>
      </c>
    </row>
    <row r="85" spans="2:260" x14ac:dyDescent="0.2">
      <c r="B85" s="34"/>
      <c r="C85" s="34"/>
      <c r="D85" s="308" t="s">
        <v>52</v>
      </c>
      <c r="E85" s="309"/>
      <c r="F85" s="309"/>
      <c r="G85" s="309"/>
      <c r="H85" s="309"/>
      <c r="I85" s="309"/>
      <c r="J85" s="309"/>
      <c r="K85" s="309"/>
      <c r="L85" s="309"/>
      <c r="M85" s="309"/>
      <c r="N85" s="309"/>
      <c r="O85" s="309"/>
      <c r="P85" s="309"/>
      <c r="Q85" s="309"/>
      <c r="R85" s="309"/>
      <c r="S85" s="309"/>
      <c r="T85" s="309"/>
      <c r="U85" s="309"/>
      <c r="V85" s="309"/>
      <c r="W85" s="309"/>
      <c r="X85" s="309"/>
      <c r="Y85" s="309"/>
      <c r="Z85" s="309"/>
      <c r="AA85" s="309"/>
      <c r="AB85" s="309"/>
      <c r="AC85" s="309"/>
      <c r="AD85" s="309"/>
      <c r="AE85" s="309"/>
      <c r="AF85" s="309"/>
      <c r="AG85" s="310"/>
      <c r="IT85" s="151"/>
      <c r="IU85" s="151"/>
      <c r="IY85" s="149" t="s">
        <v>330</v>
      </c>
      <c r="IZ85" s="101" t="s">
        <v>196</v>
      </c>
    </row>
    <row r="86" spans="2:260" x14ac:dyDescent="0.2">
      <c r="B86" s="34"/>
      <c r="C86" s="34"/>
      <c r="D86" s="302" t="str">
        <f>IF($D$46="","",$D$46)</f>
        <v>BODEGA N°1</v>
      </c>
      <c r="E86" s="303"/>
      <c r="F86" s="302" t="str">
        <f>IF($F$46="","",$F$46)</f>
        <v>BODEGA N°2</v>
      </c>
      <c r="G86" s="303"/>
      <c r="H86" s="302" t="str">
        <f>IF($H$46="","",$H$46)</f>
        <v>BODEGA N°3</v>
      </c>
      <c r="I86" s="303"/>
      <c r="J86" s="302" t="str">
        <f>IF($J$46="","",$J$46)</f>
        <v>BODEGA N°4</v>
      </c>
      <c r="K86" s="303"/>
      <c r="L86" s="302" t="str">
        <f>IF($L$46="","",$L$46)</f>
        <v>BODEGA N°5</v>
      </c>
      <c r="M86" s="303"/>
      <c r="N86" s="302" t="str">
        <f>IF($N$46="","",$N$46)</f>
        <v/>
      </c>
      <c r="O86" s="303"/>
      <c r="P86" s="302" t="str">
        <f>IF($P$46="","",$P$46)</f>
        <v/>
      </c>
      <c r="Q86" s="303"/>
      <c r="R86" s="302" t="str">
        <f>IF($R$46="","",$R$46)</f>
        <v/>
      </c>
      <c r="S86" s="303"/>
      <c r="T86" s="302" t="str">
        <f>IF($T$46="","",$T$46)</f>
        <v/>
      </c>
      <c r="U86" s="303"/>
      <c r="V86" s="302" t="str">
        <f>IF($V$46="","",$V$46)</f>
        <v/>
      </c>
      <c r="W86" s="303"/>
      <c r="X86" s="302" t="str">
        <f>IF($X$46="","",$X$46)</f>
        <v/>
      </c>
      <c r="Y86" s="303"/>
      <c r="Z86" s="302" t="str">
        <f>IF($Z$46="","",$Z$46)</f>
        <v/>
      </c>
      <c r="AA86" s="303"/>
      <c r="AB86" s="302" t="str">
        <f>IF($AB$46="","",$AB$46)</f>
        <v/>
      </c>
      <c r="AC86" s="303"/>
      <c r="AD86" s="302" t="str">
        <f>IF($AD$46="","",$AD$46)</f>
        <v/>
      </c>
      <c r="AE86" s="303"/>
      <c r="AF86" s="311" t="s">
        <v>9</v>
      </c>
      <c r="AG86" s="312"/>
      <c r="IY86" s="149" t="s">
        <v>366</v>
      </c>
      <c r="IZ86" s="101" t="s">
        <v>192</v>
      </c>
    </row>
    <row r="87" spans="2:260" x14ac:dyDescent="0.2">
      <c r="B87" s="34"/>
      <c r="C87" s="34"/>
      <c r="D87" s="302" t="str">
        <f>IF($D$47="","",$D$47)</f>
        <v>EMBARQUE  - LOTE 25105</v>
      </c>
      <c r="E87" s="303"/>
      <c r="F87" s="302" t="str">
        <f>IF($F$47="","",$F$47)</f>
        <v>EMBARQUE - LOTE 25106</v>
      </c>
      <c r="G87" s="303"/>
      <c r="H87" s="302" t="str">
        <f>IF($H$47="","",$H$47)</f>
        <v xml:space="preserve">EMBARQUE </v>
      </c>
      <c r="I87" s="303"/>
      <c r="J87" s="302" t="str">
        <f>IF($J$47="","",$J$47)</f>
        <v>EMBARQUE - LOTE 25107</v>
      </c>
      <c r="K87" s="303"/>
      <c r="L87" s="302" t="str">
        <f>IF($L$47="","",$L$47)</f>
        <v>EMBARQUE - LOTE 25108</v>
      </c>
      <c r="M87" s="303"/>
      <c r="N87" s="302" t="str">
        <f>IF($N$47="","",$N$47)</f>
        <v/>
      </c>
      <c r="O87" s="303"/>
      <c r="P87" s="302" t="str">
        <f>IF($P$47="","",$P$47)</f>
        <v/>
      </c>
      <c r="Q87" s="303"/>
      <c r="R87" s="302" t="str">
        <f>IF($R$47="","",$R$47)</f>
        <v/>
      </c>
      <c r="S87" s="303"/>
      <c r="T87" s="302" t="str">
        <f>IF($T$47="","",$T$47)</f>
        <v/>
      </c>
      <c r="U87" s="303"/>
      <c r="V87" s="302" t="str">
        <f>IF($V$47="","",$V$47)</f>
        <v/>
      </c>
      <c r="W87" s="303"/>
      <c r="X87" s="302" t="str">
        <f>IF($X$47="","",$X$47)</f>
        <v/>
      </c>
      <c r="Y87" s="303"/>
      <c r="Z87" s="302" t="str">
        <f>IF($Z$47="","",$Z$47)</f>
        <v/>
      </c>
      <c r="AA87" s="303"/>
      <c r="AB87" s="302" t="str">
        <f>IF($AB$47="","",$AB$47)</f>
        <v/>
      </c>
      <c r="AC87" s="303"/>
      <c r="AD87" s="302" t="str">
        <f>IF($AD$47="","",$AD$47)</f>
        <v/>
      </c>
      <c r="AE87" s="303"/>
      <c r="AF87" s="72"/>
      <c r="AG87" s="73"/>
      <c r="IT87" s="151"/>
      <c r="IU87" s="151"/>
      <c r="IY87" s="101" t="s">
        <v>194</v>
      </c>
      <c r="IZ87" s="101" t="s">
        <v>196</v>
      </c>
    </row>
    <row r="88" spans="2:260" x14ac:dyDescent="0.2">
      <c r="B88" s="34"/>
      <c r="C88" s="34"/>
      <c r="D88" s="156" t="s">
        <v>10</v>
      </c>
      <c r="E88" s="44" t="s">
        <v>11</v>
      </c>
      <c r="F88" s="69" t="s">
        <v>10</v>
      </c>
      <c r="G88" s="38" t="s">
        <v>11</v>
      </c>
      <c r="H88" s="69" t="s">
        <v>10</v>
      </c>
      <c r="I88" s="38" t="s">
        <v>11</v>
      </c>
      <c r="J88" s="69" t="s">
        <v>10</v>
      </c>
      <c r="K88" s="38" t="s">
        <v>11</v>
      </c>
      <c r="L88" s="69" t="s">
        <v>10</v>
      </c>
      <c r="M88" s="38" t="s">
        <v>11</v>
      </c>
      <c r="N88" s="69" t="s">
        <v>10</v>
      </c>
      <c r="O88" s="38" t="s">
        <v>11</v>
      </c>
      <c r="P88" s="69" t="s">
        <v>10</v>
      </c>
      <c r="Q88" s="38" t="s">
        <v>11</v>
      </c>
      <c r="R88" s="69" t="s">
        <v>10</v>
      </c>
      <c r="S88" s="38" t="s">
        <v>11</v>
      </c>
      <c r="T88" s="69" t="s">
        <v>10</v>
      </c>
      <c r="U88" s="38" t="s">
        <v>11</v>
      </c>
      <c r="V88" s="69" t="s">
        <v>10</v>
      </c>
      <c r="W88" s="38" t="s">
        <v>11</v>
      </c>
      <c r="X88" s="69" t="s">
        <v>10</v>
      </c>
      <c r="Y88" s="38" t="s">
        <v>11</v>
      </c>
      <c r="Z88" s="69"/>
      <c r="AA88" s="38" t="s">
        <v>11</v>
      </c>
      <c r="AB88" s="69" t="s">
        <v>10</v>
      </c>
      <c r="AC88" s="38" t="s">
        <v>11</v>
      </c>
      <c r="AD88" s="69" t="s">
        <v>10</v>
      </c>
      <c r="AE88" s="38" t="s">
        <v>11</v>
      </c>
      <c r="AF88" s="155" t="s">
        <v>10</v>
      </c>
      <c r="AG88" s="41" t="s">
        <v>11</v>
      </c>
      <c r="IY88" s="149" t="s">
        <v>362</v>
      </c>
      <c r="IZ88" s="101" t="s">
        <v>192</v>
      </c>
    </row>
    <row r="89" spans="2:260" x14ac:dyDescent="0.2">
      <c r="B89" s="34"/>
      <c r="C89" s="34"/>
      <c r="D89" s="167" t="str">
        <f t="shared" ref="D89:H95" si="9">IF(D49="","",D49/D69)</f>
        <v/>
      </c>
      <c r="E89" s="169" t="str">
        <f t="shared" si="9"/>
        <v/>
      </c>
      <c r="F89" s="167" t="str">
        <f>IF(F49="","",F49/F69)</f>
        <v/>
      </c>
      <c r="G89" s="169" t="str">
        <f t="shared" si="9"/>
        <v/>
      </c>
      <c r="H89" s="167" t="str">
        <f t="shared" si="9"/>
        <v/>
      </c>
      <c r="I89" s="169" t="str">
        <f t="shared" ref="I89:Y89" si="10">IF(I49="","",I49/I69)</f>
        <v/>
      </c>
      <c r="J89" s="167">
        <f t="shared" si="10"/>
        <v>2036.2081447963803</v>
      </c>
      <c r="K89" s="169" t="str">
        <f t="shared" si="10"/>
        <v/>
      </c>
      <c r="L89" s="167" t="str">
        <f t="shared" si="10"/>
        <v/>
      </c>
      <c r="M89" s="169" t="str">
        <f t="shared" si="10"/>
        <v/>
      </c>
      <c r="N89" s="167" t="str">
        <f t="shared" si="10"/>
        <v/>
      </c>
      <c r="O89" s="169" t="str">
        <f t="shared" si="10"/>
        <v/>
      </c>
      <c r="P89" s="167" t="str">
        <f t="shared" si="10"/>
        <v/>
      </c>
      <c r="Q89" s="169" t="str">
        <f t="shared" si="10"/>
        <v/>
      </c>
      <c r="R89" s="167" t="str">
        <f t="shared" si="10"/>
        <v/>
      </c>
      <c r="S89" s="169" t="str">
        <f t="shared" si="10"/>
        <v/>
      </c>
      <c r="T89" s="167" t="str">
        <f t="shared" si="10"/>
        <v/>
      </c>
      <c r="U89" s="169" t="str">
        <f t="shared" si="10"/>
        <v/>
      </c>
      <c r="V89" s="167" t="str">
        <f t="shared" si="10"/>
        <v/>
      </c>
      <c r="W89" s="169" t="str">
        <f t="shared" si="10"/>
        <v/>
      </c>
      <c r="X89" s="167" t="str">
        <f t="shared" si="10"/>
        <v/>
      </c>
      <c r="Y89" s="169" t="str">
        <f t="shared" si="10"/>
        <v/>
      </c>
      <c r="Z89" s="167"/>
      <c r="AA89" s="169" t="str">
        <f t="shared" ref="AA89:AE101" si="11">IF(AA49="","",AA49/AA69)</f>
        <v/>
      </c>
      <c r="AB89" s="167" t="str">
        <f t="shared" si="11"/>
        <v/>
      </c>
      <c r="AC89" s="169" t="str">
        <f t="shared" si="11"/>
        <v/>
      </c>
      <c r="AD89" s="167" t="str">
        <f t="shared" si="11"/>
        <v/>
      </c>
      <c r="AE89" s="169" t="str">
        <f t="shared" si="11"/>
        <v/>
      </c>
      <c r="AF89" s="167">
        <f t="shared" ref="AF89:AG101" si="12">IF(AF49=0,0,AF49/AF69)</f>
        <v>2036.2081447963803</v>
      </c>
      <c r="AG89" s="169">
        <f t="shared" si="12"/>
        <v>0</v>
      </c>
      <c r="IT89" s="151"/>
      <c r="IU89" s="151"/>
      <c r="IY89" s="149" t="s">
        <v>314</v>
      </c>
      <c r="IZ89" s="101" t="s">
        <v>192</v>
      </c>
    </row>
    <row r="90" spans="2:260" x14ac:dyDescent="0.2">
      <c r="B90" s="34"/>
      <c r="C90" s="34"/>
      <c r="D90" s="171" t="str">
        <f t="shared" si="9"/>
        <v/>
      </c>
      <c r="E90" s="62" t="str">
        <f t="shared" si="9"/>
        <v/>
      </c>
      <c r="F90" s="171">
        <f>IF(F50="","",F50/F70)</f>
        <v>2029.7121771217714</v>
      </c>
      <c r="G90" s="62" t="str">
        <f t="shared" si="9"/>
        <v/>
      </c>
      <c r="H90" s="171" t="str">
        <f t="shared" si="9"/>
        <v/>
      </c>
      <c r="I90" s="62" t="str">
        <f t="shared" ref="I90:Y90" si="13">IF(I50="","",I50/I70)</f>
        <v/>
      </c>
      <c r="J90" s="171" t="str">
        <f t="shared" si="13"/>
        <v/>
      </c>
      <c r="K90" s="62" t="str">
        <f t="shared" si="13"/>
        <v/>
      </c>
      <c r="L90" s="171" t="str">
        <f t="shared" si="13"/>
        <v/>
      </c>
      <c r="M90" s="62" t="str">
        <f t="shared" si="13"/>
        <v/>
      </c>
      <c r="N90" s="171" t="str">
        <f t="shared" si="13"/>
        <v/>
      </c>
      <c r="O90" s="62" t="str">
        <f t="shared" si="13"/>
        <v/>
      </c>
      <c r="P90" s="171" t="str">
        <f t="shared" si="13"/>
        <v/>
      </c>
      <c r="Q90" s="62" t="str">
        <f t="shared" si="13"/>
        <v/>
      </c>
      <c r="R90" s="171" t="str">
        <f t="shared" si="13"/>
        <v/>
      </c>
      <c r="S90" s="62" t="str">
        <f t="shared" si="13"/>
        <v/>
      </c>
      <c r="T90" s="171" t="str">
        <f t="shared" si="13"/>
        <v/>
      </c>
      <c r="U90" s="62" t="str">
        <f t="shared" si="13"/>
        <v/>
      </c>
      <c r="V90" s="171" t="str">
        <f t="shared" si="13"/>
        <v/>
      </c>
      <c r="W90" s="62" t="str">
        <f t="shared" si="13"/>
        <v/>
      </c>
      <c r="X90" s="171" t="str">
        <f t="shared" si="13"/>
        <v/>
      </c>
      <c r="Y90" s="62" t="str">
        <f t="shared" si="13"/>
        <v/>
      </c>
      <c r="Z90" s="171"/>
      <c r="AA90" s="62" t="str">
        <f t="shared" si="11"/>
        <v/>
      </c>
      <c r="AB90" s="171" t="str">
        <f t="shared" si="11"/>
        <v/>
      </c>
      <c r="AC90" s="62" t="str">
        <f t="shared" si="11"/>
        <v/>
      </c>
      <c r="AD90" s="171" t="str">
        <f t="shared" si="11"/>
        <v/>
      </c>
      <c r="AE90" s="62" t="str">
        <f t="shared" si="11"/>
        <v/>
      </c>
      <c r="AF90" s="171">
        <f t="shared" si="12"/>
        <v>2029.7121771217714</v>
      </c>
      <c r="AG90" s="62">
        <f t="shared" si="12"/>
        <v>0</v>
      </c>
      <c r="IY90" s="149" t="s">
        <v>318</v>
      </c>
      <c r="IZ90" s="101" t="s">
        <v>196</v>
      </c>
    </row>
    <row r="91" spans="2:260" x14ac:dyDescent="0.2">
      <c r="B91" s="34"/>
      <c r="C91" s="34"/>
      <c r="D91" s="171" t="str">
        <f t="shared" si="9"/>
        <v/>
      </c>
      <c r="E91" s="62" t="str">
        <f t="shared" si="9"/>
        <v/>
      </c>
      <c r="F91" s="171" t="str">
        <f t="shared" si="9"/>
        <v/>
      </c>
      <c r="G91" s="62" t="str">
        <f t="shared" si="9"/>
        <v/>
      </c>
      <c r="H91" s="171" t="str">
        <f t="shared" si="9"/>
        <v/>
      </c>
      <c r="I91" s="62" t="str">
        <f t="shared" ref="I91:Y91" si="14">IF(I51="","",I51/I71)</f>
        <v/>
      </c>
      <c r="J91" s="171">
        <f t="shared" si="14"/>
        <v>2174.4565217391305</v>
      </c>
      <c r="K91" s="62" t="str">
        <f t="shared" si="14"/>
        <v/>
      </c>
      <c r="L91" s="171" t="str">
        <f t="shared" si="14"/>
        <v/>
      </c>
      <c r="M91" s="62" t="str">
        <f t="shared" si="14"/>
        <v/>
      </c>
      <c r="N91" s="171" t="str">
        <f t="shared" si="14"/>
        <v/>
      </c>
      <c r="O91" s="62" t="str">
        <f t="shared" si="14"/>
        <v/>
      </c>
      <c r="P91" s="171" t="str">
        <f t="shared" si="14"/>
        <v/>
      </c>
      <c r="Q91" s="62" t="str">
        <f t="shared" si="14"/>
        <v/>
      </c>
      <c r="R91" s="171" t="str">
        <f t="shared" si="14"/>
        <v/>
      </c>
      <c r="S91" s="62" t="str">
        <f t="shared" si="14"/>
        <v/>
      </c>
      <c r="T91" s="171" t="str">
        <f t="shared" si="14"/>
        <v/>
      </c>
      <c r="U91" s="62" t="str">
        <f t="shared" si="14"/>
        <v/>
      </c>
      <c r="V91" s="171" t="str">
        <f t="shared" si="14"/>
        <v/>
      </c>
      <c r="W91" s="62" t="str">
        <f t="shared" si="14"/>
        <v/>
      </c>
      <c r="X91" s="171" t="str">
        <f t="shared" si="14"/>
        <v/>
      </c>
      <c r="Y91" s="62" t="str">
        <f t="shared" si="14"/>
        <v/>
      </c>
      <c r="Z91" s="171"/>
      <c r="AA91" s="62" t="str">
        <f t="shared" si="11"/>
        <v/>
      </c>
      <c r="AB91" s="171" t="str">
        <f t="shared" si="11"/>
        <v/>
      </c>
      <c r="AC91" s="62" t="str">
        <f t="shared" si="11"/>
        <v/>
      </c>
      <c r="AD91" s="171" t="str">
        <f t="shared" si="11"/>
        <v/>
      </c>
      <c r="AE91" s="62" t="str">
        <f t="shared" si="11"/>
        <v/>
      </c>
      <c r="AF91" s="171">
        <f t="shared" si="12"/>
        <v>2174.4565217391305</v>
      </c>
      <c r="AG91" s="62">
        <f t="shared" si="12"/>
        <v>0</v>
      </c>
      <c r="IY91" s="149" t="s">
        <v>379</v>
      </c>
      <c r="IZ91" s="149" t="s">
        <v>209</v>
      </c>
    </row>
    <row r="92" spans="2:260" x14ac:dyDescent="0.2">
      <c r="B92" s="34"/>
      <c r="C92" s="34"/>
      <c r="D92" s="171" t="str">
        <f t="shared" si="9"/>
        <v/>
      </c>
      <c r="E92" s="62" t="str">
        <f t="shared" si="9"/>
        <v/>
      </c>
      <c r="F92" s="171" t="str">
        <f t="shared" si="9"/>
        <v/>
      </c>
      <c r="G92" s="62" t="str">
        <f t="shared" si="9"/>
        <v/>
      </c>
      <c r="H92" s="171" t="str">
        <f t="shared" si="9"/>
        <v/>
      </c>
      <c r="I92" s="62" t="str">
        <f t="shared" ref="I92:Y92" si="15">IF(I52="","",I52/I72)</f>
        <v/>
      </c>
      <c r="J92" s="171" t="str">
        <f t="shared" si="15"/>
        <v/>
      </c>
      <c r="K92" s="62" t="str">
        <f t="shared" si="15"/>
        <v/>
      </c>
      <c r="L92" s="171">
        <f t="shared" si="15"/>
        <v>2164.4038461538462</v>
      </c>
      <c r="M92" s="62" t="str">
        <f t="shared" si="15"/>
        <v/>
      </c>
      <c r="N92" s="171" t="str">
        <f t="shared" si="15"/>
        <v/>
      </c>
      <c r="O92" s="62" t="str">
        <f t="shared" si="15"/>
        <v/>
      </c>
      <c r="P92" s="171" t="str">
        <f t="shared" si="15"/>
        <v/>
      </c>
      <c r="Q92" s="62" t="str">
        <f t="shared" si="15"/>
        <v/>
      </c>
      <c r="R92" s="171" t="str">
        <f t="shared" si="15"/>
        <v/>
      </c>
      <c r="S92" s="62" t="str">
        <f t="shared" si="15"/>
        <v/>
      </c>
      <c r="T92" s="171" t="str">
        <f t="shared" si="15"/>
        <v/>
      </c>
      <c r="U92" s="62" t="str">
        <f t="shared" si="15"/>
        <v/>
      </c>
      <c r="V92" s="171" t="str">
        <f t="shared" si="15"/>
        <v/>
      </c>
      <c r="W92" s="62" t="str">
        <f t="shared" si="15"/>
        <v/>
      </c>
      <c r="X92" s="171" t="str">
        <f t="shared" si="15"/>
        <v/>
      </c>
      <c r="Y92" s="62" t="str">
        <f t="shared" si="15"/>
        <v/>
      </c>
      <c r="Z92" s="171"/>
      <c r="AA92" s="62" t="str">
        <f t="shared" si="11"/>
        <v/>
      </c>
      <c r="AB92" s="171" t="str">
        <f t="shared" si="11"/>
        <v/>
      </c>
      <c r="AC92" s="62" t="str">
        <f t="shared" si="11"/>
        <v/>
      </c>
      <c r="AD92" s="171" t="str">
        <f t="shared" si="11"/>
        <v/>
      </c>
      <c r="AE92" s="62" t="str">
        <f t="shared" si="11"/>
        <v/>
      </c>
      <c r="AF92" s="171">
        <f t="shared" si="12"/>
        <v>2164.4038461538462</v>
      </c>
      <c r="AG92" s="62">
        <f t="shared" si="12"/>
        <v>0</v>
      </c>
      <c r="IY92" s="149" t="s">
        <v>315</v>
      </c>
      <c r="IZ92" s="101" t="s">
        <v>192</v>
      </c>
    </row>
    <row r="93" spans="2:260" x14ac:dyDescent="0.2">
      <c r="B93" s="34"/>
      <c r="C93" s="34"/>
      <c r="D93" s="171">
        <f t="shared" si="9"/>
        <v>2105.4853801169593</v>
      </c>
      <c r="E93" s="62" t="str">
        <f t="shared" si="9"/>
        <v/>
      </c>
      <c r="F93" s="171" t="str">
        <f t="shared" si="9"/>
        <v/>
      </c>
      <c r="G93" s="62" t="str">
        <f t="shared" si="9"/>
        <v/>
      </c>
      <c r="H93" s="171" t="str">
        <f t="shared" si="9"/>
        <v/>
      </c>
      <c r="I93" s="62" t="str">
        <f t="shared" ref="I93:Y93" si="16">IF(I53="","",I53/I73)</f>
        <v/>
      </c>
      <c r="J93" s="171" t="str">
        <f t="shared" si="16"/>
        <v/>
      </c>
      <c r="K93" s="62" t="str">
        <f t="shared" si="16"/>
        <v/>
      </c>
      <c r="L93" s="171" t="str">
        <f t="shared" si="16"/>
        <v/>
      </c>
      <c r="M93" s="62" t="str">
        <f t="shared" si="16"/>
        <v/>
      </c>
      <c r="N93" s="171" t="str">
        <f t="shared" si="16"/>
        <v/>
      </c>
      <c r="O93" s="62" t="str">
        <f t="shared" si="16"/>
        <v/>
      </c>
      <c r="P93" s="171" t="str">
        <f t="shared" si="16"/>
        <v/>
      </c>
      <c r="Q93" s="62" t="str">
        <f t="shared" si="16"/>
        <v/>
      </c>
      <c r="R93" s="171" t="str">
        <f t="shared" si="16"/>
        <v/>
      </c>
      <c r="S93" s="62" t="str">
        <f t="shared" si="16"/>
        <v/>
      </c>
      <c r="T93" s="171" t="str">
        <f t="shared" si="16"/>
        <v/>
      </c>
      <c r="U93" s="62" t="str">
        <f t="shared" si="16"/>
        <v/>
      </c>
      <c r="V93" s="171" t="str">
        <f t="shared" si="16"/>
        <v/>
      </c>
      <c r="W93" s="62" t="str">
        <f t="shared" si="16"/>
        <v/>
      </c>
      <c r="X93" s="171" t="str">
        <f t="shared" si="16"/>
        <v/>
      </c>
      <c r="Y93" s="62" t="str">
        <f t="shared" si="16"/>
        <v/>
      </c>
      <c r="Z93" s="171"/>
      <c r="AA93" s="62" t="str">
        <f t="shared" si="11"/>
        <v/>
      </c>
      <c r="AB93" s="171" t="str">
        <f t="shared" si="11"/>
        <v/>
      </c>
      <c r="AC93" s="62" t="str">
        <f t="shared" si="11"/>
        <v/>
      </c>
      <c r="AD93" s="171" t="str">
        <f t="shared" si="11"/>
        <v/>
      </c>
      <c r="AE93" s="62" t="str">
        <f t="shared" si="11"/>
        <v/>
      </c>
      <c r="AF93" s="171">
        <f t="shared" si="12"/>
        <v>2105.4853801169593</v>
      </c>
      <c r="AG93" s="62">
        <f t="shared" si="12"/>
        <v>0</v>
      </c>
      <c r="IY93" s="149" t="s">
        <v>360</v>
      </c>
      <c r="IZ93" s="101" t="s">
        <v>192</v>
      </c>
    </row>
    <row r="94" spans="2:260" x14ac:dyDescent="0.2">
      <c r="B94" s="34"/>
      <c r="C94" s="34"/>
      <c r="D94" s="171" t="str">
        <f t="shared" si="9"/>
        <v/>
      </c>
      <c r="E94" s="62" t="str">
        <f t="shared" si="9"/>
        <v/>
      </c>
      <c r="F94" s="171" t="str">
        <f t="shared" si="9"/>
        <v/>
      </c>
      <c r="G94" s="62" t="str">
        <f t="shared" si="9"/>
        <v/>
      </c>
      <c r="H94" s="171" t="str">
        <f t="shared" si="9"/>
        <v/>
      </c>
      <c r="I94" s="62" t="str">
        <f t="shared" ref="I94:Y94" si="17">IF(I54="","",I54/I74)</f>
        <v/>
      </c>
      <c r="J94" s="171" t="str">
        <f t="shared" si="17"/>
        <v/>
      </c>
      <c r="K94" s="62" t="str">
        <f t="shared" si="17"/>
        <v/>
      </c>
      <c r="L94" s="171">
        <f t="shared" si="17"/>
        <v>2225.7294520547948</v>
      </c>
      <c r="M94" s="62" t="str">
        <f t="shared" si="17"/>
        <v/>
      </c>
      <c r="N94" s="171" t="str">
        <f t="shared" si="17"/>
        <v/>
      </c>
      <c r="O94" s="62" t="str">
        <f t="shared" si="17"/>
        <v/>
      </c>
      <c r="P94" s="171" t="str">
        <f t="shared" si="17"/>
        <v/>
      </c>
      <c r="Q94" s="62" t="str">
        <f t="shared" si="17"/>
        <v/>
      </c>
      <c r="R94" s="171" t="str">
        <f t="shared" si="17"/>
        <v/>
      </c>
      <c r="S94" s="62" t="str">
        <f t="shared" si="17"/>
        <v/>
      </c>
      <c r="T94" s="171" t="str">
        <f t="shared" si="17"/>
        <v/>
      </c>
      <c r="U94" s="62" t="str">
        <f t="shared" si="17"/>
        <v/>
      </c>
      <c r="V94" s="171" t="str">
        <f t="shared" si="17"/>
        <v/>
      </c>
      <c r="W94" s="62" t="str">
        <f t="shared" si="17"/>
        <v/>
      </c>
      <c r="X94" s="171" t="str">
        <f t="shared" si="17"/>
        <v/>
      </c>
      <c r="Y94" s="62" t="str">
        <f t="shared" si="17"/>
        <v/>
      </c>
      <c r="Z94" s="171"/>
      <c r="AA94" s="62" t="str">
        <f t="shared" si="11"/>
        <v/>
      </c>
      <c r="AB94" s="171" t="str">
        <f t="shared" si="11"/>
        <v/>
      </c>
      <c r="AC94" s="62" t="str">
        <f t="shared" si="11"/>
        <v/>
      </c>
      <c r="AD94" s="171" t="str">
        <f t="shared" si="11"/>
        <v/>
      </c>
      <c r="AE94" s="62" t="str">
        <f t="shared" si="11"/>
        <v/>
      </c>
      <c r="AF94" s="171">
        <f t="shared" si="12"/>
        <v>2225.7294520547948</v>
      </c>
      <c r="AG94" s="62">
        <f t="shared" si="12"/>
        <v>0</v>
      </c>
      <c r="IY94" s="149"/>
      <c r="IZ94" s="101"/>
    </row>
    <row r="95" spans="2:260" x14ac:dyDescent="0.2">
      <c r="B95" s="34"/>
      <c r="C95" s="34"/>
      <c r="D95" s="171">
        <f t="shared" si="9"/>
        <v>2077.3825136612022</v>
      </c>
      <c r="E95" s="62" t="str">
        <f t="shared" si="9"/>
        <v/>
      </c>
      <c r="F95" s="171" t="str">
        <f t="shared" si="9"/>
        <v/>
      </c>
      <c r="G95" s="62" t="str">
        <f t="shared" si="9"/>
        <v/>
      </c>
      <c r="H95" s="171" t="str">
        <f t="shared" si="9"/>
        <v/>
      </c>
      <c r="I95" s="62" t="str">
        <f t="shared" ref="I95:Y95" si="18">IF(I55="","",I55/I75)</f>
        <v/>
      </c>
      <c r="J95" s="171" t="str">
        <f t="shared" si="18"/>
        <v/>
      </c>
      <c r="K95" s="62" t="str">
        <f t="shared" si="18"/>
        <v/>
      </c>
      <c r="L95" s="171" t="str">
        <f t="shared" si="18"/>
        <v/>
      </c>
      <c r="M95" s="62" t="str">
        <f t="shared" si="18"/>
        <v/>
      </c>
      <c r="N95" s="171" t="str">
        <f t="shared" si="18"/>
        <v/>
      </c>
      <c r="O95" s="62" t="str">
        <f t="shared" si="18"/>
        <v/>
      </c>
      <c r="P95" s="171" t="str">
        <f t="shared" si="18"/>
        <v/>
      </c>
      <c r="Q95" s="62" t="str">
        <f t="shared" si="18"/>
        <v/>
      </c>
      <c r="R95" s="171" t="str">
        <f t="shared" si="18"/>
        <v/>
      </c>
      <c r="S95" s="62" t="str">
        <f t="shared" si="18"/>
        <v/>
      </c>
      <c r="T95" s="171" t="str">
        <f t="shared" si="18"/>
        <v/>
      </c>
      <c r="U95" s="62" t="str">
        <f t="shared" si="18"/>
        <v/>
      </c>
      <c r="V95" s="171" t="str">
        <f t="shared" si="18"/>
        <v/>
      </c>
      <c r="W95" s="62" t="str">
        <f t="shared" si="18"/>
        <v/>
      </c>
      <c r="X95" s="171" t="str">
        <f t="shared" si="18"/>
        <v/>
      </c>
      <c r="Y95" s="62" t="str">
        <f t="shared" si="18"/>
        <v/>
      </c>
      <c r="Z95" s="171"/>
      <c r="AA95" s="62" t="str">
        <f t="shared" si="11"/>
        <v/>
      </c>
      <c r="AB95" s="171" t="str">
        <f t="shared" si="11"/>
        <v/>
      </c>
      <c r="AC95" s="62" t="str">
        <f t="shared" si="11"/>
        <v/>
      </c>
      <c r="AD95" s="171" t="str">
        <f t="shared" si="11"/>
        <v/>
      </c>
      <c r="AE95" s="62" t="str">
        <f t="shared" si="11"/>
        <v/>
      </c>
      <c r="AF95" s="171">
        <f t="shared" si="12"/>
        <v>2077.3825136612022</v>
      </c>
      <c r="AG95" s="62">
        <f t="shared" si="12"/>
        <v>0</v>
      </c>
      <c r="IY95" s="149"/>
      <c r="IZ95" s="149"/>
    </row>
    <row r="96" spans="2:260" x14ac:dyDescent="0.2">
      <c r="B96" s="34"/>
      <c r="C96" s="34"/>
      <c r="D96" s="171" t="str">
        <f t="shared" ref="D96:Y96" si="19">IF(D56="","",D56/D76)</f>
        <v/>
      </c>
      <c r="E96" s="62" t="str">
        <f t="shared" si="19"/>
        <v/>
      </c>
      <c r="F96" s="171" t="str">
        <f t="shared" si="19"/>
        <v/>
      </c>
      <c r="G96" s="62" t="str">
        <f t="shared" si="19"/>
        <v/>
      </c>
      <c r="H96" s="171" t="str">
        <f t="shared" si="19"/>
        <v/>
      </c>
      <c r="I96" s="62" t="str">
        <f t="shared" si="19"/>
        <v/>
      </c>
      <c r="J96" s="171" t="str">
        <f t="shared" si="19"/>
        <v/>
      </c>
      <c r="K96" s="62" t="str">
        <f t="shared" si="19"/>
        <v/>
      </c>
      <c r="L96" s="171" t="str">
        <f t="shared" si="19"/>
        <v/>
      </c>
      <c r="M96" s="62" t="str">
        <f t="shared" si="19"/>
        <v/>
      </c>
      <c r="N96" s="171" t="str">
        <f t="shared" si="19"/>
        <v/>
      </c>
      <c r="O96" s="62" t="str">
        <f t="shared" si="19"/>
        <v/>
      </c>
      <c r="P96" s="171" t="str">
        <f t="shared" si="19"/>
        <v/>
      </c>
      <c r="Q96" s="62" t="str">
        <f t="shared" si="19"/>
        <v/>
      </c>
      <c r="R96" s="171" t="str">
        <f t="shared" si="19"/>
        <v/>
      </c>
      <c r="S96" s="62" t="str">
        <f t="shared" si="19"/>
        <v/>
      </c>
      <c r="T96" s="171" t="str">
        <f t="shared" si="19"/>
        <v/>
      </c>
      <c r="U96" s="62" t="str">
        <f t="shared" si="19"/>
        <v/>
      </c>
      <c r="V96" s="171" t="str">
        <f t="shared" si="19"/>
        <v/>
      </c>
      <c r="W96" s="62" t="str">
        <f t="shared" si="19"/>
        <v/>
      </c>
      <c r="X96" s="171" t="str">
        <f t="shared" si="19"/>
        <v/>
      </c>
      <c r="Y96" s="62" t="str">
        <f t="shared" si="19"/>
        <v/>
      </c>
      <c r="Z96" s="171"/>
      <c r="AA96" s="62" t="str">
        <f t="shared" si="11"/>
        <v/>
      </c>
      <c r="AB96" s="171" t="str">
        <f t="shared" si="11"/>
        <v/>
      </c>
      <c r="AC96" s="62" t="str">
        <f t="shared" si="11"/>
        <v/>
      </c>
      <c r="AD96" s="171" t="str">
        <f t="shared" si="11"/>
        <v/>
      </c>
      <c r="AE96" s="62" t="str">
        <f t="shared" si="11"/>
        <v/>
      </c>
      <c r="AF96" s="171">
        <f t="shared" si="12"/>
        <v>0</v>
      </c>
      <c r="AG96" s="62">
        <f t="shared" si="12"/>
        <v>0</v>
      </c>
      <c r="IY96" s="149"/>
      <c r="IZ96" s="149"/>
    </row>
    <row r="97" spans="2:260" x14ac:dyDescent="0.2">
      <c r="B97" s="34"/>
      <c r="C97" s="34"/>
      <c r="D97" s="171" t="str">
        <f t="shared" ref="D97:Y97" si="20">IF(D57="","",D57/D77)</f>
        <v/>
      </c>
      <c r="E97" s="62" t="str">
        <f t="shared" si="20"/>
        <v/>
      </c>
      <c r="F97" s="171" t="str">
        <f t="shared" si="20"/>
        <v/>
      </c>
      <c r="G97" s="62" t="str">
        <f t="shared" si="20"/>
        <v/>
      </c>
      <c r="H97" s="171" t="str">
        <f t="shared" si="20"/>
        <v/>
      </c>
      <c r="I97" s="62" t="str">
        <f t="shared" si="20"/>
        <v/>
      </c>
      <c r="J97" s="171" t="str">
        <f t="shared" si="20"/>
        <v/>
      </c>
      <c r="K97" s="62" t="str">
        <f t="shared" si="20"/>
        <v/>
      </c>
      <c r="L97" s="171" t="str">
        <f t="shared" si="20"/>
        <v/>
      </c>
      <c r="M97" s="62" t="str">
        <f t="shared" si="20"/>
        <v/>
      </c>
      <c r="N97" s="171" t="str">
        <f t="shared" si="20"/>
        <v/>
      </c>
      <c r="O97" s="62" t="str">
        <f t="shared" si="20"/>
        <v/>
      </c>
      <c r="P97" s="171" t="str">
        <f t="shared" si="20"/>
        <v/>
      </c>
      <c r="Q97" s="62" t="str">
        <f t="shared" si="20"/>
        <v/>
      </c>
      <c r="R97" s="171" t="str">
        <f t="shared" si="20"/>
        <v/>
      </c>
      <c r="S97" s="62" t="str">
        <f t="shared" si="20"/>
        <v/>
      </c>
      <c r="T97" s="171" t="str">
        <f t="shared" si="20"/>
        <v/>
      </c>
      <c r="U97" s="62" t="str">
        <f t="shared" si="20"/>
        <v/>
      </c>
      <c r="V97" s="171" t="str">
        <f t="shared" si="20"/>
        <v/>
      </c>
      <c r="W97" s="62" t="str">
        <f t="shared" si="20"/>
        <v/>
      </c>
      <c r="X97" s="171" t="str">
        <f t="shared" si="20"/>
        <v/>
      </c>
      <c r="Y97" s="62" t="str">
        <f t="shared" si="20"/>
        <v/>
      </c>
      <c r="Z97" s="171"/>
      <c r="AA97" s="62" t="str">
        <f t="shared" si="11"/>
        <v/>
      </c>
      <c r="AB97" s="171" t="str">
        <f t="shared" si="11"/>
        <v/>
      </c>
      <c r="AC97" s="62" t="str">
        <f t="shared" si="11"/>
        <v/>
      </c>
      <c r="AD97" s="171" t="str">
        <f t="shared" si="11"/>
        <v/>
      </c>
      <c r="AE97" s="62" t="str">
        <f t="shared" si="11"/>
        <v/>
      </c>
      <c r="AF97" s="171">
        <f t="shared" si="12"/>
        <v>0</v>
      </c>
      <c r="AG97" s="62">
        <f t="shared" si="12"/>
        <v>0</v>
      </c>
      <c r="IY97" s="149"/>
      <c r="IZ97" s="149"/>
    </row>
    <row r="98" spans="2:260" x14ac:dyDescent="0.2">
      <c r="B98" s="34"/>
      <c r="C98" s="34"/>
      <c r="D98" s="171" t="str">
        <f t="shared" ref="D98:Y98" si="21">IF(D58="","",D58/D78)</f>
        <v/>
      </c>
      <c r="E98" s="62" t="str">
        <f t="shared" si="21"/>
        <v/>
      </c>
      <c r="F98" s="171" t="str">
        <f t="shared" si="21"/>
        <v/>
      </c>
      <c r="G98" s="62" t="str">
        <f t="shared" si="21"/>
        <v/>
      </c>
      <c r="H98" s="171" t="str">
        <f t="shared" si="21"/>
        <v/>
      </c>
      <c r="I98" s="62" t="str">
        <f t="shared" si="21"/>
        <v/>
      </c>
      <c r="J98" s="171" t="str">
        <f t="shared" si="21"/>
        <v/>
      </c>
      <c r="K98" s="62" t="str">
        <f t="shared" si="21"/>
        <v/>
      </c>
      <c r="L98" s="171" t="str">
        <f t="shared" si="21"/>
        <v/>
      </c>
      <c r="M98" s="62" t="str">
        <f t="shared" si="21"/>
        <v/>
      </c>
      <c r="N98" s="171" t="str">
        <f t="shared" si="21"/>
        <v/>
      </c>
      <c r="O98" s="62" t="str">
        <f t="shared" si="21"/>
        <v/>
      </c>
      <c r="P98" s="171" t="str">
        <f t="shared" si="21"/>
        <v/>
      </c>
      <c r="Q98" s="62" t="str">
        <f t="shared" si="21"/>
        <v/>
      </c>
      <c r="R98" s="171" t="str">
        <f t="shared" si="21"/>
        <v/>
      </c>
      <c r="S98" s="62" t="str">
        <f t="shared" si="21"/>
        <v/>
      </c>
      <c r="T98" s="171" t="str">
        <f t="shared" si="21"/>
        <v/>
      </c>
      <c r="U98" s="62" t="str">
        <f t="shared" si="21"/>
        <v/>
      </c>
      <c r="V98" s="171" t="str">
        <f t="shared" si="21"/>
        <v/>
      </c>
      <c r="W98" s="62" t="str">
        <f t="shared" si="21"/>
        <v/>
      </c>
      <c r="X98" s="171" t="str">
        <f t="shared" si="21"/>
        <v/>
      </c>
      <c r="Y98" s="62" t="str">
        <f t="shared" si="21"/>
        <v/>
      </c>
      <c r="Z98" s="171"/>
      <c r="AA98" s="62" t="str">
        <f t="shared" si="11"/>
        <v/>
      </c>
      <c r="AB98" s="171" t="str">
        <f t="shared" si="11"/>
        <v/>
      </c>
      <c r="AC98" s="62" t="str">
        <f t="shared" si="11"/>
        <v/>
      </c>
      <c r="AD98" s="171" t="str">
        <f t="shared" si="11"/>
        <v/>
      </c>
      <c r="AE98" s="62" t="str">
        <f t="shared" si="11"/>
        <v/>
      </c>
      <c r="AF98" s="171">
        <f t="shared" si="12"/>
        <v>0</v>
      </c>
      <c r="AG98" s="62">
        <f t="shared" si="12"/>
        <v>0</v>
      </c>
      <c r="IY98" s="101"/>
      <c r="IZ98" s="101"/>
    </row>
    <row r="99" spans="2:260" x14ac:dyDescent="0.2">
      <c r="B99" s="34"/>
      <c r="C99" s="34"/>
      <c r="D99" s="171" t="str">
        <f t="shared" ref="D99:Y99" si="22">IF(D59="","",D59/D79)</f>
        <v/>
      </c>
      <c r="E99" s="62" t="str">
        <f t="shared" si="22"/>
        <v/>
      </c>
      <c r="F99" s="171" t="str">
        <f t="shared" si="22"/>
        <v/>
      </c>
      <c r="G99" s="62" t="str">
        <f t="shared" si="22"/>
        <v/>
      </c>
      <c r="H99" s="171" t="str">
        <f t="shared" si="22"/>
        <v/>
      </c>
      <c r="I99" s="62" t="str">
        <f t="shared" si="22"/>
        <v/>
      </c>
      <c r="J99" s="171" t="str">
        <f t="shared" si="22"/>
        <v/>
      </c>
      <c r="K99" s="62" t="str">
        <f t="shared" si="22"/>
        <v/>
      </c>
      <c r="L99" s="171" t="str">
        <f t="shared" si="22"/>
        <v/>
      </c>
      <c r="M99" s="62" t="str">
        <f t="shared" si="22"/>
        <v/>
      </c>
      <c r="N99" s="171" t="str">
        <f t="shared" si="22"/>
        <v/>
      </c>
      <c r="O99" s="62" t="str">
        <f t="shared" si="22"/>
        <v/>
      </c>
      <c r="P99" s="171" t="str">
        <f t="shared" si="22"/>
        <v/>
      </c>
      <c r="Q99" s="62" t="str">
        <f t="shared" si="22"/>
        <v/>
      </c>
      <c r="R99" s="171" t="str">
        <f t="shared" si="22"/>
        <v/>
      </c>
      <c r="S99" s="62" t="str">
        <f t="shared" si="22"/>
        <v/>
      </c>
      <c r="T99" s="171" t="str">
        <f t="shared" si="22"/>
        <v/>
      </c>
      <c r="U99" s="62" t="str">
        <f t="shared" si="22"/>
        <v/>
      </c>
      <c r="V99" s="171" t="str">
        <f t="shared" si="22"/>
        <v/>
      </c>
      <c r="W99" s="62" t="str">
        <f t="shared" si="22"/>
        <v/>
      </c>
      <c r="X99" s="171" t="str">
        <f t="shared" si="22"/>
        <v/>
      </c>
      <c r="Y99" s="62" t="str">
        <f t="shared" si="22"/>
        <v/>
      </c>
      <c r="Z99" s="171"/>
      <c r="AA99" s="62" t="str">
        <f t="shared" si="11"/>
        <v/>
      </c>
      <c r="AB99" s="171" t="str">
        <f t="shared" si="11"/>
        <v/>
      </c>
      <c r="AC99" s="62" t="str">
        <f t="shared" si="11"/>
        <v/>
      </c>
      <c r="AD99" s="171" t="str">
        <f t="shared" si="11"/>
        <v/>
      </c>
      <c r="AE99" s="62" t="str">
        <f t="shared" si="11"/>
        <v/>
      </c>
      <c r="AF99" s="171">
        <f t="shared" si="12"/>
        <v>0</v>
      </c>
      <c r="AG99" s="62">
        <f t="shared" si="12"/>
        <v>0</v>
      </c>
      <c r="IY99" s="149"/>
      <c r="IZ99" s="149"/>
    </row>
    <row r="100" spans="2:260" x14ac:dyDescent="0.2">
      <c r="B100" s="34"/>
      <c r="C100" s="34"/>
      <c r="D100" s="171" t="str">
        <f t="shared" ref="D100:Y100" si="23">IF(D60="","",D60/D80)</f>
        <v/>
      </c>
      <c r="E100" s="62" t="str">
        <f t="shared" si="23"/>
        <v/>
      </c>
      <c r="F100" s="171" t="str">
        <f t="shared" si="23"/>
        <v/>
      </c>
      <c r="G100" s="62" t="str">
        <f t="shared" si="23"/>
        <v/>
      </c>
      <c r="H100" s="171" t="str">
        <f t="shared" si="23"/>
        <v/>
      </c>
      <c r="I100" s="62" t="str">
        <f t="shared" si="23"/>
        <v/>
      </c>
      <c r="J100" s="171" t="str">
        <f t="shared" si="23"/>
        <v/>
      </c>
      <c r="K100" s="62" t="str">
        <f t="shared" si="23"/>
        <v/>
      </c>
      <c r="L100" s="171" t="str">
        <f t="shared" si="23"/>
        <v/>
      </c>
      <c r="M100" s="62" t="str">
        <f t="shared" si="23"/>
        <v/>
      </c>
      <c r="N100" s="171" t="str">
        <f t="shared" si="23"/>
        <v/>
      </c>
      <c r="O100" s="62" t="str">
        <f t="shared" si="23"/>
        <v/>
      </c>
      <c r="P100" s="171" t="str">
        <f t="shared" si="23"/>
        <v/>
      </c>
      <c r="Q100" s="62" t="str">
        <f t="shared" si="23"/>
        <v/>
      </c>
      <c r="R100" s="171" t="str">
        <f t="shared" si="23"/>
        <v/>
      </c>
      <c r="S100" s="62" t="str">
        <f t="shared" si="23"/>
        <v/>
      </c>
      <c r="T100" s="171" t="str">
        <f t="shared" si="23"/>
        <v/>
      </c>
      <c r="U100" s="62" t="str">
        <f t="shared" si="23"/>
        <v/>
      </c>
      <c r="V100" s="171" t="str">
        <f t="shared" si="23"/>
        <v/>
      </c>
      <c r="W100" s="62" t="str">
        <f t="shared" si="23"/>
        <v/>
      </c>
      <c r="X100" s="171" t="str">
        <f t="shared" si="23"/>
        <v/>
      </c>
      <c r="Y100" s="62" t="str">
        <f t="shared" si="23"/>
        <v/>
      </c>
      <c r="Z100" s="171"/>
      <c r="AA100" s="62" t="str">
        <f t="shared" si="11"/>
        <v/>
      </c>
      <c r="AB100" s="171" t="str">
        <f t="shared" si="11"/>
        <v/>
      </c>
      <c r="AC100" s="62" t="str">
        <f t="shared" si="11"/>
        <v/>
      </c>
      <c r="AD100" s="171" t="str">
        <f t="shared" si="11"/>
        <v/>
      </c>
      <c r="AE100" s="62" t="str">
        <f t="shared" si="11"/>
        <v/>
      </c>
      <c r="AF100" s="171">
        <f t="shared" si="12"/>
        <v>0</v>
      </c>
      <c r="AG100" s="62">
        <f t="shared" si="12"/>
        <v>0</v>
      </c>
      <c r="IY100" s="101"/>
      <c r="IZ100" s="101"/>
    </row>
    <row r="101" spans="2:260" x14ac:dyDescent="0.2">
      <c r="B101" s="34"/>
      <c r="C101" s="34"/>
      <c r="D101" s="174" t="str">
        <f t="shared" ref="D101:Y101" si="24">IF(D61="","",D61/D81)</f>
        <v/>
      </c>
      <c r="E101" s="176" t="str">
        <f t="shared" si="24"/>
        <v/>
      </c>
      <c r="F101" s="174" t="str">
        <f t="shared" si="24"/>
        <v/>
      </c>
      <c r="G101" s="176" t="str">
        <f t="shared" si="24"/>
        <v/>
      </c>
      <c r="H101" s="174" t="str">
        <f t="shared" si="24"/>
        <v/>
      </c>
      <c r="I101" s="176" t="str">
        <f t="shared" si="24"/>
        <v/>
      </c>
      <c r="J101" s="174" t="str">
        <f t="shared" si="24"/>
        <v/>
      </c>
      <c r="K101" s="176" t="str">
        <f t="shared" si="24"/>
        <v/>
      </c>
      <c r="L101" s="174" t="str">
        <f t="shared" si="24"/>
        <v/>
      </c>
      <c r="M101" s="176" t="str">
        <f t="shared" si="24"/>
        <v/>
      </c>
      <c r="N101" s="174" t="str">
        <f t="shared" si="24"/>
        <v/>
      </c>
      <c r="O101" s="176" t="str">
        <f t="shared" si="24"/>
        <v/>
      </c>
      <c r="P101" s="174" t="str">
        <f t="shared" si="24"/>
        <v/>
      </c>
      <c r="Q101" s="176" t="str">
        <f t="shared" si="24"/>
        <v/>
      </c>
      <c r="R101" s="174" t="str">
        <f t="shared" si="24"/>
        <v/>
      </c>
      <c r="S101" s="176" t="str">
        <f t="shared" si="24"/>
        <v/>
      </c>
      <c r="T101" s="174" t="str">
        <f t="shared" si="24"/>
        <v/>
      </c>
      <c r="U101" s="176" t="str">
        <f t="shared" si="24"/>
        <v/>
      </c>
      <c r="V101" s="174" t="str">
        <f t="shared" si="24"/>
        <v/>
      </c>
      <c r="W101" s="176" t="str">
        <f t="shared" si="24"/>
        <v/>
      </c>
      <c r="X101" s="174" t="str">
        <f t="shared" si="24"/>
        <v/>
      </c>
      <c r="Y101" s="176" t="str">
        <f t="shared" si="24"/>
        <v/>
      </c>
      <c r="Z101" s="174"/>
      <c r="AA101" s="176" t="str">
        <f t="shared" si="11"/>
        <v/>
      </c>
      <c r="AB101" s="174" t="str">
        <f t="shared" si="11"/>
        <v/>
      </c>
      <c r="AC101" s="176" t="str">
        <f t="shared" si="11"/>
        <v/>
      </c>
      <c r="AD101" s="174" t="str">
        <f t="shared" si="11"/>
        <v/>
      </c>
      <c r="AE101" s="176" t="str">
        <f t="shared" si="11"/>
        <v/>
      </c>
      <c r="AF101" s="174">
        <f t="shared" si="12"/>
        <v>0</v>
      </c>
      <c r="AG101" s="176">
        <f t="shared" si="12"/>
        <v>0</v>
      </c>
      <c r="IY101" s="149"/>
      <c r="IZ101" s="101"/>
    </row>
    <row r="102" spans="2:260" ht="11.25" customHeight="1" x14ac:dyDescent="0.2"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IY102" s="101"/>
      <c r="IZ102" s="149"/>
    </row>
    <row r="103" spans="2:260" x14ac:dyDescent="0.2">
      <c r="B103" s="34"/>
      <c r="C103" s="34"/>
      <c r="D103" s="177">
        <f t="shared" ref="D103:Y103" si="25">IF(D63=0,0,D63/D83)</f>
        <v>2095.689523809524</v>
      </c>
      <c r="E103" s="165">
        <f t="shared" si="25"/>
        <v>0</v>
      </c>
      <c r="F103" s="177">
        <f t="shared" si="25"/>
        <v>2029.7121771217714</v>
      </c>
      <c r="G103" s="165">
        <f t="shared" si="25"/>
        <v>0</v>
      </c>
      <c r="H103" s="177">
        <f t="shared" si="25"/>
        <v>0</v>
      </c>
      <c r="I103" s="165">
        <f t="shared" si="25"/>
        <v>0</v>
      </c>
      <c r="J103" s="177">
        <f t="shared" si="25"/>
        <v>2060.0262172284647</v>
      </c>
      <c r="K103" s="165">
        <f t="shared" si="25"/>
        <v>0</v>
      </c>
      <c r="L103" s="177">
        <f t="shared" si="25"/>
        <v>2200.2179999999998</v>
      </c>
      <c r="M103" s="165">
        <f t="shared" si="25"/>
        <v>0</v>
      </c>
      <c r="N103" s="177">
        <f t="shared" si="25"/>
        <v>0</v>
      </c>
      <c r="O103" s="165">
        <f t="shared" si="25"/>
        <v>0</v>
      </c>
      <c r="P103" s="177">
        <f t="shared" si="25"/>
        <v>0</v>
      </c>
      <c r="Q103" s="165">
        <f t="shared" si="25"/>
        <v>0</v>
      </c>
      <c r="R103" s="177">
        <f t="shared" si="25"/>
        <v>0</v>
      </c>
      <c r="S103" s="165">
        <f t="shared" si="25"/>
        <v>0</v>
      </c>
      <c r="T103" s="177">
        <f t="shared" si="25"/>
        <v>0</v>
      </c>
      <c r="U103" s="165">
        <f t="shared" si="25"/>
        <v>0</v>
      </c>
      <c r="V103" s="177">
        <f t="shared" si="25"/>
        <v>0</v>
      </c>
      <c r="W103" s="165">
        <f t="shared" si="25"/>
        <v>0</v>
      </c>
      <c r="X103" s="177">
        <f t="shared" si="25"/>
        <v>0</v>
      </c>
      <c r="Y103" s="165">
        <f t="shared" si="25"/>
        <v>0</v>
      </c>
      <c r="Z103" s="177"/>
      <c r="AA103" s="165">
        <f t="shared" ref="AA103:AG103" si="26">IF(AA63=0,0,AA63/AA83)</f>
        <v>0</v>
      </c>
      <c r="AB103" s="177">
        <f t="shared" si="26"/>
        <v>0</v>
      </c>
      <c r="AC103" s="165">
        <f t="shared" si="26"/>
        <v>0</v>
      </c>
      <c r="AD103" s="177">
        <f t="shared" si="26"/>
        <v>0</v>
      </c>
      <c r="AE103" s="165">
        <f t="shared" si="26"/>
        <v>0</v>
      </c>
      <c r="AF103" s="177">
        <f t="shared" si="26"/>
        <v>2094.480723465017</v>
      </c>
      <c r="AG103" s="165">
        <f t="shared" si="26"/>
        <v>0</v>
      </c>
      <c r="IY103" s="149"/>
      <c r="IZ103" s="149"/>
    </row>
    <row r="104" spans="2:260" x14ac:dyDescent="0.2">
      <c r="B104" s="34"/>
      <c r="C104" s="34"/>
      <c r="D104" s="178"/>
      <c r="E104" s="152"/>
      <c r="F104" s="178"/>
      <c r="G104" s="152"/>
      <c r="H104" s="178"/>
      <c r="I104" s="152"/>
      <c r="J104" s="178"/>
      <c r="K104" s="152"/>
      <c r="L104" s="178"/>
      <c r="M104" s="152"/>
      <c r="N104" s="178"/>
      <c r="O104" s="152"/>
      <c r="P104" s="152"/>
      <c r="Q104" s="152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178"/>
      <c r="AG104" s="152"/>
      <c r="IY104" s="149"/>
      <c r="IZ104" s="149"/>
    </row>
    <row r="105" spans="2:260" x14ac:dyDescent="0.2">
      <c r="B105" s="34"/>
      <c r="C105" s="34"/>
      <c r="D105" s="347" t="s">
        <v>53</v>
      </c>
      <c r="E105" s="348"/>
      <c r="F105" s="348"/>
      <c r="G105" s="348"/>
      <c r="H105" s="348"/>
      <c r="I105" s="348"/>
      <c r="J105" s="348"/>
      <c r="K105" s="348"/>
      <c r="L105" s="348"/>
      <c r="M105" s="348"/>
      <c r="N105" s="348"/>
      <c r="O105" s="348"/>
      <c r="P105" s="348"/>
      <c r="Q105" s="348"/>
      <c r="R105" s="348"/>
      <c r="S105" s="348"/>
      <c r="T105" s="348"/>
      <c r="U105" s="348"/>
      <c r="V105" s="348"/>
      <c r="W105" s="348"/>
      <c r="X105" s="348"/>
      <c r="Y105" s="348"/>
      <c r="Z105" s="348"/>
      <c r="AA105" s="348"/>
      <c r="AB105" s="348"/>
      <c r="AC105" s="348"/>
      <c r="AD105" s="348"/>
      <c r="AE105" s="348"/>
      <c r="AF105" s="348"/>
      <c r="AG105" s="349"/>
      <c r="IY105" s="149"/>
      <c r="IZ105" s="101"/>
    </row>
    <row r="106" spans="2:260" x14ac:dyDescent="0.2">
      <c r="B106" s="34"/>
      <c r="C106" s="34"/>
      <c r="D106" s="304" t="str">
        <f>IF($D$46="","",$D$46)</f>
        <v>BODEGA N°1</v>
      </c>
      <c r="E106" s="305"/>
      <c r="F106" s="304" t="str">
        <f>IF($F$46="","",$F$46)</f>
        <v>BODEGA N°2</v>
      </c>
      <c r="G106" s="305"/>
      <c r="H106" s="304" t="str">
        <f>IF($H$46="","",$H$46)</f>
        <v>BODEGA N°3</v>
      </c>
      <c r="I106" s="305"/>
      <c r="J106" s="304" t="str">
        <f>IF($J$46="","",$J$46)</f>
        <v>BODEGA N°4</v>
      </c>
      <c r="K106" s="305"/>
      <c r="L106" s="304" t="str">
        <f>IF($L$46="","",$L$46)</f>
        <v>BODEGA N°5</v>
      </c>
      <c r="M106" s="305"/>
      <c r="N106" s="304" t="str">
        <f>IF($N$46="","",$N$46)</f>
        <v/>
      </c>
      <c r="O106" s="305"/>
      <c r="P106" s="304" t="str">
        <f>IF($P$46="","",$P$46)</f>
        <v/>
      </c>
      <c r="Q106" s="305"/>
      <c r="R106" s="304" t="str">
        <f>IF($R$46="","",$R$46)</f>
        <v/>
      </c>
      <c r="S106" s="305"/>
      <c r="T106" s="304" t="str">
        <f>IF($T$46="","",$T$46)</f>
        <v/>
      </c>
      <c r="U106" s="305"/>
      <c r="V106" s="304" t="str">
        <f>IF($V$46="","",$V$46)</f>
        <v/>
      </c>
      <c r="W106" s="305"/>
      <c r="X106" s="304" t="str">
        <f>IF($X$46="","",$X$46)</f>
        <v/>
      </c>
      <c r="Y106" s="305"/>
      <c r="Z106" s="304" t="str">
        <f>IF($Z$46="","",$Z$46)</f>
        <v/>
      </c>
      <c r="AA106" s="305"/>
      <c r="AB106" s="304" t="str">
        <f>IF($AB$46="","",$AB$46)</f>
        <v/>
      </c>
      <c r="AC106" s="305"/>
      <c r="AD106" s="304" t="str">
        <f>IF($AD$46="","",$AD$46)</f>
        <v/>
      </c>
      <c r="AE106" s="305"/>
      <c r="AF106" s="350" t="s">
        <v>9</v>
      </c>
      <c r="AG106" s="351"/>
      <c r="IY106" s="149"/>
      <c r="IZ106" s="149"/>
    </row>
    <row r="107" spans="2:260" x14ac:dyDescent="0.2">
      <c r="B107" s="34"/>
      <c r="C107" s="34"/>
      <c r="D107" s="304" t="str">
        <f>IF($D$47="","",$D$47)</f>
        <v>EMBARQUE  - LOTE 25105</v>
      </c>
      <c r="E107" s="305"/>
      <c r="F107" s="304" t="str">
        <f>IF($F$47="","",$F$47)</f>
        <v>EMBARQUE - LOTE 25106</v>
      </c>
      <c r="G107" s="305"/>
      <c r="H107" s="304" t="str">
        <f>IF($H$47="","",$H$47)</f>
        <v xml:space="preserve">EMBARQUE </v>
      </c>
      <c r="I107" s="305"/>
      <c r="J107" s="304" t="str">
        <f>IF($J$47="","",$J$47)</f>
        <v>EMBARQUE - LOTE 25107</v>
      </c>
      <c r="K107" s="305"/>
      <c r="L107" s="304" t="str">
        <f>IF($L$47="","",$L$47)</f>
        <v>EMBARQUE - LOTE 25108</v>
      </c>
      <c r="M107" s="305"/>
      <c r="N107" s="304" t="str">
        <f>IF($N$47="","",$N$47)</f>
        <v/>
      </c>
      <c r="O107" s="305"/>
      <c r="P107" s="304" t="str">
        <f>IF($P$47="","",$P$47)</f>
        <v/>
      </c>
      <c r="Q107" s="305"/>
      <c r="R107" s="304" t="str">
        <f>IF($R$47="","",$R$47)</f>
        <v/>
      </c>
      <c r="S107" s="305"/>
      <c r="T107" s="304" t="str">
        <f>IF($T$47="","",$T$47)</f>
        <v/>
      </c>
      <c r="U107" s="305"/>
      <c r="V107" s="304" t="str">
        <f>IF($V$47="","",$V$47)</f>
        <v/>
      </c>
      <c r="W107" s="305"/>
      <c r="X107" s="304" t="str">
        <f>IF($X$47="","",$X$47)</f>
        <v/>
      </c>
      <c r="Y107" s="305"/>
      <c r="Z107" s="304" t="str">
        <f>IF($Z$47="","",$Z$47)</f>
        <v/>
      </c>
      <c r="AA107" s="305"/>
      <c r="AB107" s="304" t="str">
        <f>IF($AB$47="","",$AB$47)</f>
        <v/>
      </c>
      <c r="AC107" s="305"/>
      <c r="AD107" s="304" t="str">
        <f>IF($AD$47="","",$AD$47)</f>
        <v/>
      </c>
      <c r="AE107" s="305"/>
      <c r="AF107" s="153"/>
      <c r="AG107" s="154"/>
      <c r="IY107" s="101"/>
      <c r="IZ107" s="101"/>
    </row>
    <row r="108" spans="2:260" x14ac:dyDescent="0.2">
      <c r="B108" s="34"/>
      <c r="C108" s="34"/>
      <c r="D108" s="37" t="s">
        <v>10</v>
      </c>
      <c r="E108" s="38" t="s">
        <v>11</v>
      </c>
      <c r="F108" s="39" t="s">
        <v>10</v>
      </c>
      <c r="G108" s="38" t="s">
        <v>11</v>
      </c>
      <c r="H108" s="39" t="s">
        <v>10</v>
      </c>
      <c r="I108" s="38" t="s">
        <v>11</v>
      </c>
      <c r="J108" s="39" t="s">
        <v>10</v>
      </c>
      <c r="K108" s="38" t="s">
        <v>11</v>
      </c>
      <c r="L108" s="39" t="s">
        <v>10</v>
      </c>
      <c r="M108" s="38" t="s">
        <v>11</v>
      </c>
      <c r="N108" s="39" t="s">
        <v>10</v>
      </c>
      <c r="O108" s="38" t="s">
        <v>11</v>
      </c>
      <c r="P108" s="39" t="s">
        <v>10</v>
      </c>
      <c r="Q108" s="38" t="s">
        <v>11</v>
      </c>
      <c r="R108" s="39" t="s">
        <v>10</v>
      </c>
      <c r="S108" s="38" t="s">
        <v>11</v>
      </c>
      <c r="T108" s="39" t="s">
        <v>10</v>
      </c>
      <c r="U108" s="38" t="s">
        <v>11</v>
      </c>
      <c r="V108" s="39" t="s">
        <v>10</v>
      </c>
      <c r="W108" s="38" t="s">
        <v>11</v>
      </c>
      <c r="X108" s="39" t="s">
        <v>10</v>
      </c>
      <c r="Y108" s="38" t="s">
        <v>11</v>
      </c>
      <c r="Z108" s="39" t="s">
        <v>10</v>
      </c>
      <c r="AA108" s="38" t="s">
        <v>11</v>
      </c>
      <c r="AB108" s="39" t="s">
        <v>10</v>
      </c>
      <c r="AC108" s="38" t="s">
        <v>11</v>
      </c>
      <c r="AD108" s="39" t="s">
        <v>10</v>
      </c>
      <c r="AE108" s="38" t="s">
        <v>11</v>
      </c>
      <c r="AF108" s="40" t="s">
        <v>10</v>
      </c>
      <c r="AG108" s="41" t="s">
        <v>11</v>
      </c>
      <c r="IY108" s="101"/>
      <c r="IZ108" s="101"/>
    </row>
    <row r="109" spans="2:260" x14ac:dyDescent="0.2">
      <c r="B109" s="34"/>
      <c r="C109" s="34"/>
      <c r="D109" s="179"/>
      <c r="E109" s="44"/>
      <c r="F109" s="180"/>
      <c r="G109" s="44"/>
      <c r="H109" s="180"/>
      <c r="I109" s="44"/>
      <c r="J109" s="180">
        <v>5.17</v>
      </c>
      <c r="K109" s="44"/>
      <c r="L109" s="180"/>
      <c r="M109" s="44"/>
      <c r="N109" s="180"/>
      <c r="O109" s="83"/>
      <c r="P109" s="181"/>
      <c r="Q109" s="83"/>
      <c r="R109" s="181"/>
      <c r="S109" s="83"/>
      <c r="T109" s="181"/>
      <c r="U109" s="83"/>
      <c r="V109" s="181"/>
      <c r="W109" s="83"/>
      <c r="X109" s="181"/>
      <c r="Y109" s="83"/>
      <c r="Z109" s="181"/>
      <c r="AA109" s="83"/>
      <c r="AB109" s="181"/>
      <c r="AC109" s="83"/>
      <c r="AD109" s="181"/>
      <c r="AE109" s="83"/>
      <c r="AF109" s="179">
        <f>SUM(D109,F109,H109,J109,L109,N109,P109,R109,AB109,AD109)</f>
        <v>5.17</v>
      </c>
      <c r="AG109" s="169">
        <f t="shared" ref="AG109:AG121" si="27">SUM(E109,G109,I109,K109,M109,O109,Q109,AA109,AC109,AE109)</f>
        <v>0</v>
      </c>
      <c r="IY109" s="101"/>
      <c r="IZ109" s="101"/>
    </row>
    <row r="110" spans="2:260" x14ac:dyDescent="0.2">
      <c r="B110" s="34"/>
      <c r="C110" s="34"/>
      <c r="D110" s="182"/>
      <c r="E110" s="89"/>
      <c r="F110" s="183">
        <v>8</v>
      </c>
      <c r="G110" s="89"/>
      <c r="H110" s="183"/>
      <c r="I110" s="89"/>
      <c r="J110" s="183"/>
      <c r="K110" s="89"/>
      <c r="L110" s="183"/>
      <c r="M110" s="89"/>
      <c r="N110" s="183"/>
      <c r="O110" s="86"/>
      <c r="P110" s="184"/>
      <c r="Q110" s="86"/>
      <c r="R110" s="184"/>
      <c r="S110" s="86"/>
      <c r="T110" s="184"/>
      <c r="U110" s="86"/>
      <c r="V110" s="184"/>
      <c r="W110" s="86"/>
      <c r="X110" s="184"/>
      <c r="Y110" s="86"/>
      <c r="Z110" s="184"/>
      <c r="AA110" s="86"/>
      <c r="AB110" s="184"/>
      <c r="AC110" s="86"/>
      <c r="AD110" s="184"/>
      <c r="AE110" s="86"/>
      <c r="AF110" s="182">
        <f>SUM(D110,F110,H110,J110,L110,N110,P110,R110,AB110,AD110)</f>
        <v>8</v>
      </c>
      <c r="AG110" s="62">
        <f t="shared" si="27"/>
        <v>0</v>
      </c>
      <c r="IY110" s="101"/>
      <c r="IZ110" s="101"/>
    </row>
    <row r="111" spans="2:260" x14ac:dyDescent="0.2">
      <c r="B111" s="34"/>
      <c r="C111" s="34"/>
      <c r="D111" s="185"/>
      <c r="E111" s="89"/>
      <c r="F111" s="183"/>
      <c r="G111" s="89"/>
      <c r="H111" s="183"/>
      <c r="I111" s="89"/>
      <c r="J111" s="183">
        <v>2</v>
      </c>
      <c r="K111" s="89"/>
      <c r="L111" s="183"/>
      <c r="M111" s="89"/>
      <c r="N111" s="183"/>
      <c r="O111" s="86"/>
      <c r="P111" s="184"/>
      <c r="Q111" s="86"/>
      <c r="R111" s="184"/>
      <c r="S111" s="86"/>
      <c r="T111" s="184"/>
      <c r="U111" s="86"/>
      <c r="V111" s="184"/>
      <c r="W111" s="86"/>
      <c r="X111" s="184"/>
      <c r="Y111" s="86"/>
      <c r="Z111" s="184"/>
      <c r="AA111" s="86"/>
      <c r="AB111" s="184"/>
      <c r="AC111" s="86"/>
      <c r="AD111" s="184"/>
      <c r="AE111" s="86"/>
      <c r="AF111" s="182">
        <f t="shared" ref="AF111:AF121" si="28">SUM(D111,F111,H111,J111,L111,N111,P111,R111,AB111,AD111)</f>
        <v>2</v>
      </c>
      <c r="AG111" s="62">
        <f t="shared" si="27"/>
        <v>0</v>
      </c>
      <c r="IY111" s="149"/>
      <c r="IZ111" s="101"/>
    </row>
    <row r="112" spans="2:260" x14ac:dyDescent="0.2">
      <c r="B112" s="34"/>
      <c r="C112" s="34"/>
      <c r="D112" s="182"/>
      <c r="E112" s="89"/>
      <c r="F112" s="183"/>
      <c r="G112" s="89"/>
      <c r="H112" s="183"/>
      <c r="I112" s="89"/>
      <c r="J112" s="183"/>
      <c r="K112" s="89"/>
      <c r="L112" s="183">
        <v>3</v>
      </c>
      <c r="M112" s="89"/>
      <c r="N112" s="183"/>
      <c r="O112" s="86"/>
      <c r="P112" s="184"/>
      <c r="Q112" s="86"/>
      <c r="R112" s="184"/>
      <c r="S112" s="86"/>
      <c r="T112" s="184"/>
      <c r="U112" s="86"/>
      <c r="V112" s="184"/>
      <c r="W112" s="86"/>
      <c r="X112" s="184"/>
      <c r="Y112" s="86"/>
      <c r="Z112" s="184"/>
      <c r="AA112" s="86"/>
      <c r="AB112" s="184"/>
      <c r="AC112" s="86"/>
      <c r="AD112" s="184"/>
      <c r="AE112" s="86"/>
      <c r="AF112" s="182">
        <f t="shared" si="28"/>
        <v>3</v>
      </c>
      <c r="AG112" s="62">
        <f t="shared" si="27"/>
        <v>0</v>
      </c>
      <c r="IY112" s="149"/>
      <c r="IZ112" s="149"/>
    </row>
    <row r="113" spans="2:260" x14ac:dyDescent="0.2">
      <c r="B113" s="34"/>
      <c r="C113" s="34"/>
      <c r="D113" s="182">
        <v>4.25</v>
      </c>
      <c r="E113" s="89"/>
      <c r="F113" s="183"/>
      <c r="G113" s="89"/>
      <c r="H113" s="183"/>
      <c r="I113" s="89"/>
      <c r="J113" s="183"/>
      <c r="K113" s="89"/>
      <c r="L113" s="183"/>
      <c r="M113" s="89"/>
      <c r="N113" s="183"/>
      <c r="O113" s="86"/>
      <c r="P113" s="184"/>
      <c r="Q113" s="86"/>
      <c r="R113" s="184"/>
      <c r="S113" s="86"/>
      <c r="T113" s="184"/>
      <c r="U113" s="86"/>
      <c r="V113" s="184"/>
      <c r="W113" s="86"/>
      <c r="X113" s="184"/>
      <c r="Y113" s="86"/>
      <c r="Z113" s="184"/>
      <c r="AA113" s="86"/>
      <c r="AB113" s="184"/>
      <c r="AC113" s="86"/>
      <c r="AD113" s="184"/>
      <c r="AE113" s="86"/>
      <c r="AF113" s="182">
        <f t="shared" si="28"/>
        <v>4.25</v>
      </c>
      <c r="AG113" s="62">
        <f t="shared" si="27"/>
        <v>0</v>
      </c>
      <c r="IY113" s="149"/>
      <c r="IZ113" s="101"/>
    </row>
    <row r="114" spans="2:260" x14ac:dyDescent="0.2">
      <c r="B114" s="34"/>
      <c r="C114" s="34"/>
      <c r="D114" s="182"/>
      <c r="E114" s="89"/>
      <c r="F114" s="183"/>
      <c r="G114" s="89"/>
      <c r="H114" s="183"/>
      <c r="I114" s="89"/>
      <c r="J114" s="183"/>
      <c r="K114" s="89"/>
      <c r="L114" s="183">
        <v>4.17</v>
      </c>
      <c r="M114" s="89"/>
      <c r="N114" s="183"/>
      <c r="O114" s="86"/>
      <c r="P114" s="184"/>
      <c r="Q114" s="86"/>
      <c r="R114" s="184"/>
      <c r="S114" s="86"/>
      <c r="T114" s="184"/>
      <c r="U114" s="86"/>
      <c r="V114" s="184"/>
      <c r="W114" s="86"/>
      <c r="X114" s="184"/>
      <c r="Y114" s="86"/>
      <c r="Z114" s="184"/>
      <c r="AA114" s="86"/>
      <c r="AB114" s="184"/>
      <c r="AC114" s="86"/>
      <c r="AD114" s="184"/>
      <c r="AE114" s="86"/>
      <c r="AF114" s="182">
        <f t="shared" si="28"/>
        <v>4.17</v>
      </c>
      <c r="AG114" s="62">
        <f t="shared" si="27"/>
        <v>0</v>
      </c>
      <c r="IY114" s="101"/>
      <c r="IZ114" s="149"/>
    </row>
    <row r="115" spans="2:260" x14ac:dyDescent="0.2">
      <c r="B115" s="34"/>
      <c r="C115" s="34"/>
      <c r="D115" s="182">
        <v>1.83</v>
      </c>
      <c r="E115" s="89"/>
      <c r="F115" s="183"/>
      <c r="G115" s="89"/>
      <c r="H115" s="183"/>
      <c r="I115" s="89"/>
      <c r="J115" s="183"/>
      <c r="K115" s="89"/>
      <c r="L115" s="183"/>
      <c r="M115" s="89"/>
      <c r="N115" s="183"/>
      <c r="O115" s="86"/>
      <c r="P115" s="184"/>
      <c r="Q115" s="86"/>
      <c r="R115" s="184"/>
      <c r="S115" s="86"/>
      <c r="T115" s="184"/>
      <c r="U115" s="86"/>
      <c r="V115" s="184"/>
      <c r="W115" s="86"/>
      <c r="X115" s="184"/>
      <c r="Y115" s="86"/>
      <c r="Z115" s="184"/>
      <c r="AA115" s="86"/>
      <c r="AB115" s="184"/>
      <c r="AC115" s="86"/>
      <c r="AD115" s="184"/>
      <c r="AE115" s="86"/>
      <c r="AF115" s="182">
        <f t="shared" si="28"/>
        <v>1.83</v>
      </c>
      <c r="AG115" s="62">
        <f t="shared" si="27"/>
        <v>0</v>
      </c>
      <c r="IY115" s="101"/>
      <c r="IZ115" s="101"/>
    </row>
    <row r="116" spans="2:260" x14ac:dyDescent="0.2">
      <c r="B116" s="34"/>
      <c r="C116" s="34"/>
      <c r="D116" s="182"/>
      <c r="E116" s="89"/>
      <c r="F116" s="183"/>
      <c r="G116" s="89"/>
      <c r="H116" s="183"/>
      <c r="I116" s="89"/>
      <c r="J116" s="183"/>
      <c r="K116" s="89"/>
      <c r="L116" s="183"/>
      <c r="M116" s="89"/>
      <c r="N116" s="183"/>
      <c r="O116" s="86"/>
      <c r="P116" s="184"/>
      <c r="Q116" s="86"/>
      <c r="R116" s="184"/>
      <c r="S116" s="86"/>
      <c r="T116" s="184"/>
      <c r="U116" s="86"/>
      <c r="V116" s="184"/>
      <c r="W116" s="86"/>
      <c r="X116" s="184"/>
      <c r="Y116" s="86"/>
      <c r="Z116" s="184"/>
      <c r="AA116" s="86"/>
      <c r="AB116" s="184"/>
      <c r="AC116" s="86"/>
      <c r="AD116" s="184"/>
      <c r="AE116" s="86"/>
      <c r="AF116" s="182">
        <f t="shared" si="28"/>
        <v>0</v>
      </c>
      <c r="AG116" s="62">
        <f t="shared" si="27"/>
        <v>0</v>
      </c>
      <c r="IY116" s="101"/>
      <c r="IZ116" s="101"/>
    </row>
    <row r="117" spans="2:260" x14ac:dyDescent="0.2">
      <c r="B117" s="34"/>
      <c r="C117" s="34"/>
      <c r="D117" s="182"/>
      <c r="E117" s="89"/>
      <c r="F117" s="183"/>
      <c r="G117" s="89"/>
      <c r="H117" s="183"/>
      <c r="I117" s="89"/>
      <c r="J117" s="183"/>
      <c r="K117" s="89"/>
      <c r="L117" s="183"/>
      <c r="M117" s="89"/>
      <c r="N117" s="183"/>
      <c r="O117" s="86"/>
      <c r="P117" s="184"/>
      <c r="Q117" s="86"/>
      <c r="R117" s="184"/>
      <c r="S117" s="86"/>
      <c r="T117" s="184"/>
      <c r="U117" s="86"/>
      <c r="V117" s="184"/>
      <c r="W117" s="86"/>
      <c r="X117" s="184"/>
      <c r="Y117" s="86"/>
      <c r="Z117" s="184"/>
      <c r="AA117" s="86"/>
      <c r="AB117" s="184"/>
      <c r="AC117" s="86"/>
      <c r="AD117" s="184"/>
      <c r="AE117" s="86"/>
      <c r="AF117" s="182">
        <f t="shared" si="28"/>
        <v>0</v>
      </c>
      <c r="AG117" s="62">
        <f t="shared" si="27"/>
        <v>0</v>
      </c>
      <c r="IY117" s="149"/>
      <c r="IZ117" s="149"/>
    </row>
    <row r="118" spans="2:260" x14ac:dyDescent="0.2">
      <c r="B118" s="34"/>
      <c r="C118" s="34"/>
      <c r="D118" s="182"/>
      <c r="E118" s="89"/>
      <c r="F118" s="183"/>
      <c r="G118" s="89"/>
      <c r="H118" s="183"/>
      <c r="I118" s="89"/>
      <c r="J118" s="183"/>
      <c r="K118" s="89"/>
      <c r="L118" s="183"/>
      <c r="M118" s="89"/>
      <c r="N118" s="183"/>
      <c r="O118" s="86"/>
      <c r="P118" s="184"/>
      <c r="Q118" s="86"/>
      <c r="R118" s="184"/>
      <c r="S118" s="86"/>
      <c r="T118" s="184"/>
      <c r="U118" s="86"/>
      <c r="V118" s="184"/>
      <c r="W118" s="86"/>
      <c r="X118" s="184"/>
      <c r="Y118" s="86"/>
      <c r="Z118" s="184"/>
      <c r="AA118" s="86"/>
      <c r="AB118" s="184"/>
      <c r="AC118" s="86"/>
      <c r="AD118" s="184"/>
      <c r="AE118" s="86"/>
      <c r="AF118" s="182">
        <f t="shared" si="28"/>
        <v>0</v>
      </c>
      <c r="AG118" s="62">
        <f t="shared" si="27"/>
        <v>0</v>
      </c>
      <c r="IY118" s="101"/>
      <c r="IZ118" s="149"/>
    </row>
    <row r="119" spans="2:260" x14ac:dyDescent="0.2">
      <c r="B119" s="34"/>
      <c r="C119" s="34"/>
      <c r="D119" s="182"/>
      <c r="E119" s="89"/>
      <c r="F119" s="183"/>
      <c r="G119" s="89"/>
      <c r="H119" s="183"/>
      <c r="I119" s="89"/>
      <c r="J119" s="183"/>
      <c r="K119" s="89"/>
      <c r="L119" s="183"/>
      <c r="M119" s="89"/>
      <c r="N119" s="183"/>
      <c r="O119" s="86"/>
      <c r="P119" s="184"/>
      <c r="Q119" s="86"/>
      <c r="R119" s="184"/>
      <c r="S119" s="86"/>
      <c r="T119" s="184"/>
      <c r="U119" s="86"/>
      <c r="V119" s="184"/>
      <c r="W119" s="86"/>
      <c r="X119" s="184"/>
      <c r="Y119" s="86"/>
      <c r="Z119" s="184"/>
      <c r="AA119" s="86"/>
      <c r="AB119" s="184"/>
      <c r="AC119" s="86"/>
      <c r="AD119" s="184"/>
      <c r="AE119" s="86"/>
      <c r="AF119" s="182">
        <f t="shared" si="28"/>
        <v>0</v>
      </c>
      <c r="AG119" s="62">
        <f t="shared" si="27"/>
        <v>0</v>
      </c>
      <c r="IY119" s="149"/>
      <c r="IZ119" s="101"/>
    </row>
    <row r="120" spans="2:260" x14ac:dyDescent="0.2">
      <c r="B120" s="34"/>
      <c r="C120" s="34"/>
      <c r="D120" s="182"/>
      <c r="E120" s="89"/>
      <c r="F120" s="183"/>
      <c r="G120" s="89"/>
      <c r="H120" s="183"/>
      <c r="I120" s="89"/>
      <c r="J120" s="183"/>
      <c r="K120" s="89"/>
      <c r="L120" s="183"/>
      <c r="M120" s="89"/>
      <c r="N120" s="183"/>
      <c r="O120" s="86"/>
      <c r="P120" s="184"/>
      <c r="Q120" s="86"/>
      <c r="R120" s="184"/>
      <c r="S120" s="86"/>
      <c r="T120" s="184"/>
      <c r="U120" s="86"/>
      <c r="V120" s="184"/>
      <c r="W120" s="86"/>
      <c r="X120" s="184"/>
      <c r="Y120" s="86"/>
      <c r="Z120" s="184"/>
      <c r="AA120" s="86"/>
      <c r="AB120" s="184"/>
      <c r="AC120" s="86"/>
      <c r="AD120" s="184"/>
      <c r="AE120" s="86"/>
      <c r="AF120" s="182">
        <f t="shared" si="28"/>
        <v>0</v>
      </c>
      <c r="AG120" s="62">
        <f t="shared" si="27"/>
        <v>0</v>
      </c>
    </row>
    <row r="121" spans="2:260" x14ac:dyDescent="0.2">
      <c r="B121" s="34"/>
      <c r="C121" s="34"/>
      <c r="D121" s="186"/>
      <c r="E121" s="93"/>
      <c r="F121" s="187"/>
      <c r="G121" s="93"/>
      <c r="H121" s="187"/>
      <c r="I121" s="93"/>
      <c r="J121" s="187"/>
      <c r="K121" s="93"/>
      <c r="L121" s="187"/>
      <c r="M121" s="93"/>
      <c r="N121" s="187"/>
      <c r="O121" s="90"/>
      <c r="P121" s="188"/>
      <c r="Q121" s="90"/>
      <c r="R121" s="188"/>
      <c r="S121" s="90"/>
      <c r="T121" s="188"/>
      <c r="U121" s="90"/>
      <c r="V121" s="188"/>
      <c r="W121" s="90"/>
      <c r="X121" s="188"/>
      <c r="Y121" s="90"/>
      <c r="Z121" s="188"/>
      <c r="AA121" s="90"/>
      <c r="AB121" s="188"/>
      <c r="AC121" s="90"/>
      <c r="AD121" s="188"/>
      <c r="AE121" s="90"/>
      <c r="AF121" s="186">
        <f t="shared" si="28"/>
        <v>0</v>
      </c>
      <c r="AG121" s="176">
        <f t="shared" si="27"/>
        <v>0</v>
      </c>
    </row>
    <row r="122" spans="2:260" ht="3" customHeight="1" x14ac:dyDescent="0.2"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192"/>
      <c r="AG122" s="34"/>
    </row>
    <row r="123" spans="2:260" x14ac:dyDescent="0.2">
      <c r="B123" s="34"/>
      <c r="C123" s="34"/>
      <c r="D123" s="189">
        <f t="shared" ref="D123:AG123" si="29">SUM(D109:D121)</f>
        <v>6.08</v>
      </c>
      <c r="E123" s="165">
        <f t="shared" si="29"/>
        <v>0</v>
      </c>
      <c r="F123" s="189">
        <f t="shared" si="29"/>
        <v>8</v>
      </c>
      <c r="G123" s="165">
        <f t="shared" si="29"/>
        <v>0</v>
      </c>
      <c r="H123" s="189">
        <f t="shared" si="29"/>
        <v>0</v>
      </c>
      <c r="I123" s="164">
        <f t="shared" si="29"/>
        <v>0</v>
      </c>
      <c r="J123" s="189">
        <f t="shared" si="29"/>
        <v>7.17</v>
      </c>
      <c r="K123" s="164">
        <f t="shared" si="29"/>
        <v>0</v>
      </c>
      <c r="L123" s="189">
        <f>SUM(L109:L121)</f>
        <v>7.17</v>
      </c>
      <c r="M123" s="164">
        <f t="shared" si="29"/>
        <v>0</v>
      </c>
      <c r="N123" s="189">
        <f t="shared" si="29"/>
        <v>0</v>
      </c>
      <c r="O123" s="164">
        <f t="shared" si="29"/>
        <v>0</v>
      </c>
      <c r="P123" s="189">
        <f t="shared" si="29"/>
        <v>0</v>
      </c>
      <c r="Q123" s="164">
        <f t="shared" si="29"/>
        <v>0</v>
      </c>
      <c r="R123" s="189">
        <f t="shared" si="29"/>
        <v>0</v>
      </c>
      <c r="S123" s="164">
        <f t="shared" si="29"/>
        <v>0</v>
      </c>
      <c r="T123" s="189">
        <f t="shared" si="29"/>
        <v>0</v>
      </c>
      <c r="U123" s="164">
        <f t="shared" si="29"/>
        <v>0</v>
      </c>
      <c r="V123" s="189">
        <f t="shared" si="29"/>
        <v>0</v>
      </c>
      <c r="W123" s="164">
        <f t="shared" si="29"/>
        <v>0</v>
      </c>
      <c r="X123" s="189">
        <f t="shared" si="29"/>
        <v>0</v>
      </c>
      <c r="Y123" s="164">
        <f t="shared" si="29"/>
        <v>0</v>
      </c>
      <c r="Z123" s="189">
        <f t="shared" si="29"/>
        <v>0</v>
      </c>
      <c r="AA123" s="164">
        <f t="shared" si="29"/>
        <v>0</v>
      </c>
      <c r="AB123" s="189">
        <f t="shared" si="29"/>
        <v>0</v>
      </c>
      <c r="AC123" s="164">
        <f t="shared" si="29"/>
        <v>0</v>
      </c>
      <c r="AD123" s="189">
        <f t="shared" si="29"/>
        <v>0</v>
      </c>
      <c r="AE123" s="164">
        <f t="shared" si="29"/>
        <v>0</v>
      </c>
      <c r="AF123" s="189">
        <f t="shared" si="29"/>
        <v>28.42</v>
      </c>
      <c r="AG123" s="164">
        <f t="shared" si="29"/>
        <v>0</v>
      </c>
    </row>
    <row r="124" spans="2:260" x14ac:dyDescent="0.2">
      <c r="B124" s="34"/>
      <c r="C124" s="34"/>
      <c r="D124" s="178"/>
      <c r="E124" s="152"/>
      <c r="F124" s="178"/>
      <c r="G124" s="152"/>
      <c r="H124" s="178"/>
      <c r="I124" s="152"/>
      <c r="J124" s="178"/>
      <c r="K124" s="152"/>
      <c r="L124" s="178"/>
      <c r="M124" s="152"/>
      <c r="N124" s="178"/>
      <c r="O124" s="152"/>
      <c r="P124" s="152"/>
      <c r="Q124" s="152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178"/>
      <c r="AG124" s="152"/>
    </row>
    <row r="125" spans="2:260" x14ac:dyDescent="0.2">
      <c r="B125" s="34"/>
      <c r="C125" s="34"/>
      <c r="D125" s="347" t="s">
        <v>54</v>
      </c>
      <c r="E125" s="348"/>
      <c r="F125" s="348"/>
      <c r="G125" s="348"/>
      <c r="H125" s="348"/>
      <c r="I125" s="348"/>
      <c r="J125" s="348"/>
      <c r="K125" s="348"/>
      <c r="L125" s="348"/>
      <c r="M125" s="348"/>
      <c r="N125" s="348"/>
      <c r="O125" s="348"/>
      <c r="P125" s="348"/>
      <c r="Q125" s="348"/>
      <c r="R125" s="348"/>
      <c r="S125" s="348"/>
      <c r="T125" s="348"/>
      <c r="U125" s="348"/>
      <c r="V125" s="348"/>
      <c r="W125" s="348"/>
      <c r="X125" s="348"/>
      <c r="Y125" s="348"/>
      <c r="Z125" s="348"/>
      <c r="AA125" s="348"/>
      <c r="AB125" s="348"/>
      <c r="AC125" s="348"/>
      <c r="AD125" s="348"/>
      <c r="AE125" s="348"/>
      <c r="AF125" s="348"/>
      <c r="AG125" s="349"/>
    </row>
    <row r="126" spans="2:260" x14ac:dyDescent="0.2">
      <c r="B126" s="34"/>
      <c r="C126" s="34"/>
      <c r="D126" s="304" t="str">
        <f>IF($D$46="","",$D$46)</f>
        <v>BODEGA N°1</v>
      </c>
      <c r="E126" s="305"/>
      <c r="F126" s="304" t="str">
        <f>IF($F$46="","",$F$46)</f>
        <v>BODEGA N°2</v>
      </c>
      <c r="G126" s="305"/>
      <c r="H126" s="304" t="str">
        <f>IF($H$46="","",$H$46)</f>
        <v>BODEGA N°3</v>
      </c>
      <c r="I126" s="305"/>
      <c r="J126" s="304" t="str">
        <f>IF($J$46="","",$J$46)</f>
        <v>BODEGA N°4</v>
      </c>
      <c r="K126" s="305"/>
      <c r="L126" s="304" t="str">
        <f>IF($L$46="","",$L$46)</f>
        <v>BODEGA N°5</v>
      </c>
      <c r="M126" s="305"/>
      <c r="N126" s="304" t="str">
        <f>IF($N$46="","",$N$46)</f>
        <v/>
      </c>
      <c r="O126" s="305"/>
      <c r="P126" s="304" t="str">
        <f>IF($P$46="","",$P$46)</f>
        <v/>
      </c>
      <c r="Q126" s="305"/>
      <c r="R126" s="304" t="str">
        <f>IF($R$46="","",$R$46)</f>
        <v/>
      </c>
      <c r="S126" s="305"/>
      <c r="T126" s="304" t="str">
        <f>IF($T$46="","",$T$46)</f>
        <v/>
      </c>
      <c r="U126" s="305"/>
      <c r="V126" s="304" t="str">
        <f>IF($V$46="","",$V$46)</f>
        <v/>
      </c>
      <c r="W126" s="305"/>
      <c r="X126" s="304" t="str">
        <f>IF($X$46="","",$X$46)</f>
        <v/>
      </c>
      <c r="Y126" s="305"/>
      <c r="Z126" s="304" t="str">
        <f>IF($Z$46="","",$Z$46)</f>
        <v/>
      </c>
      <c r="AA126" s="305"/>
      <c r="AB126" s="304" t="str">
        <f>IF($AB$46="","",$AB$46)</f>
        <v/>
      </c>
      <c r="AC126" s="305"/>
      <c r="AD126" s="304" t="str">
        <f>IF($AD$46="","",$AD$46)</f>
        <v/>
      </c>
      <c r="AE126" s="305"/>
      <c r="AF126" s="350" t="s">
        <v>9</v>
      </c>
      <c r="AG126" s="351"/>
    </row>
    <row r="127" spans="2:260" x14ac:dyDescent="0.2">
      <c r="B127" s="34"/>
      <c r="C127" s="34"/>
      <c r="D127" s="304" t="str">
        <f>IF($D$47="","",$D$47)</f>
        <v>EMBARQUE  - LOTE 25105</v>
      </c>
      <c r="E127" s="305"/>
      <c r="F127" s="304" t="str">
        <f>IF($F$47="","",$F$47)</f>
        <v>EMBARQUE - LOTE 25106</v>
      </c>
      <c r="G127" s="305"/>
      <c r="H127" s="304" t="str">
        <f>IF($H$47="","",$H$47)</f>
        <v xml:space="preserve">EMBARQUE </v>
      </c>
      <c r="I127" s="305"/>
      <c r="J127" s="304" t="str">
        <f>IF($J$47="","",$J$47)</f>
        <v>EMBARQUE - LOTE 25107</v>
      </c>
      <c r="K127" s="305"/>
      <c r="L127" s="304" t="str">
        <f>IF($L$47="","",$L$47)</f>
        <v>EMBARQUE - LOTE 25108</v>
      </c>
      <c r="M127" s="305"/>
      <c r="N127" s="304" t="str">
        <f>IF($N$47="","",$N$47)</f>
        <v/>
      </c>
      <c r="O127" s="305"/>
      <c r="P127" s="304" t="str">
        <f>IF($P$47="","",$P$47)</f>
        <v/>
      </c>
      <c r="Q127" s="305"/>
      <c r="R127" s="304" t="str">
        <f>IF($R$47="","",$R$47)</f>
        <v/>
      </c>
      <c r="S127" s="305"/>
      <c r="T127" s="304" t="str">
        <f>IF($T$47="","",$T$47)</f>
        <v/>
      </c>
      <c r="U127" s="305"/>
      <c r="V127" s="304" t="str">
        <f>IF($V$47="","",$V$47)</f>
        <v/>
      </c>
      <c r="W127" s="305"/>
      <c r="X127" s="304" t="str">
        <f>IF($X$47="","",$X$47)</f>
        <v/>
      </c>
      <c r="Y127" s="305"/>
      <c r="Z127" s="304" t="str">
        <f>IF($Z$47="","",$Z$47)</f>
        <v/>
      </c>
      <c r="AA127" s="305"/>
      <c r="AB127" s="304" t="str">
        <f>IF($AB$47="","",$AB$47)</f>
        <v/>
      </c>
      <c r="AC127" s="305"/>
      <c r="AD127" s="304" t="str">
        <f>IF($AD$47="","",$AD$47)</f>
        <v/>
      </c>
      <c r="AE127" s="305"/>
      <c r="AF127" s="153"/>
      <c r="AG127" s="154"/>
    </row>
    <row r="128" spans="2:260" x14ac:dyDescent="0.2">
      <c r="B128" s="34"/>
      <c r="C128" s="34"/>
      <c r="D128" s="43" t="s">
        <v>10</v>
      </c>
      <c r="E128" s="44" t="s">
        <v>11</v>
      </c>
      <c r="F128" s="39" t="s">
        <v>10</v>
      </c>
      <c r="G128" s="38" t="s">
        <v>11</v>
      </c>
      <c r="H128" s="39" t="s">
        <v>10</v>
      </c>
      <c r="I128" s="38" t="s">
        <v>11</v>
      </c>
      <c r="J128" s="39" t="s">
        <v>10</v>
      </c>
      <c r="K128" s="38" t="s">
        <v>11</v>
      </c>
      <c r="L128" s="39" t="s">
        <v>10</v>
      </c>
      <c r="M128" s="38" t="s">
        <v>11</v>
      </c>
      <c r="N128" s="39" t="s">
        <v>10</v>
      </c>
      <c r="O128" s="38" t="s">
        <v>11</v>
      </c>
      <c r="P128" s="39" t="s">
        <v>10</v>
      </c>
      <c r="Q128" s="38" t="s">
        <v>11</v>
      </c>
      <c r="R128" s="39" t="s">
        <v>10</v>
      </c>
      <c r="S128" s="38" t="s">
        <v>11</v>
      </c>
      <c r="T128" s="39" t="s">
        <v>10</v>
      </c>
      <c r="U128" s="38" t="s">
        <v>11</v>
      </c>
      <c r="V128" s="39" t="s">
        <v>10</v>
      </c>
      <c r="W128" s="38" t="s">
        <v>11</v>
      </c>
      <c r="X128" s="39" t="s">
        <v>10</v>
      </c>
      <c r="Y128" s="38" t="s">
        <v>11</v>
      </c>
      <c r="Z128" s="39" t="s">
        <v>10</v>
      </c>
      <c r="AA128" s="38" t="s">
        <v>11</v>
      </c>
      <c r="AB128" s="39" t="s">
        <v>10</v>
      </c>
      <c r="AC128" s="38" t="s">
        <v>11</v>
      </c>
      <c r="AD128" s="39" t="s">
        <v>10</v>
      </c>
      <c r="AE128" s="38" t="s">
        <v>11</v>
      </c>
      <c r="AF128" s="45" t="s">
        <v>10</v>
      </c>
      <c r="AG128" s="41" t="s">
        <v>11</v>
      </c>
    </row>
    <row r="129" spans="2:33" x14ac:dyDescent="0.2">
      <c r="B129" s="34"/>
      <c r="C129" s="34"/>
      <c r="D129" s="181" t="str">
        <f t="shared" ref="D129:H135" si="30">IF(D49="","",D49/D109)</f>
        <v/>
      </c>
      <c r="E129" s="190" t="str">
        <f t="shared" si="30"/>
        <v/>
      </c>
      <c r="F129" s="181" t="str">
        <f t="shared" si="30"/>
        <v/>
      </c>
      <c r="G129" s="190" t="str">
        <f t="shared" si="30"/>
        <v/>
      </c>
      <c r="H129" s="181" t="str">
        <f t="shared" si="30"/>
        <v/>
      </c>
      <c r="I129" s="190" t="str">
        <f t="shared" ref="I129:AE129" si="31">IF(I49="","",I49/I109)</f>
        <v/>
      </c>
      <c r="J129" s="181">
        <f t="shared" si="31"/>
        <v>1740.8201160541587</v>
      </c>
      <c r="K129" s="190" t="str">
        <f t="shared" si="31"/>
        <v/>
      </c>
      <c r="L129" s="181" t="str">
        <f>IF(L49="","",L49/L109)</f>
        <v/>
      </c>
      <c r="M129" s="190" t="str">
        <f t="shared" si="31"/>
        <v/>
      </c>
      <c r="N129" s="181" t="str">
        <f t="shared" si="31"/>
        <v/>
      </c>
      <c r="O129" s="190" t="str">
        <f t="shared" si="31"/>
        <v/>
      </c>
      <c r="P129" s="181" t="str">
        <f t="shared" si="31"/>
        <v/>
      </c>
      <c r="Q129" s="190" t="str">
        <f t="shared" si="31"/>
        <v/>
      </c>
      <c r="R129" s="181" t="str">
        <f t="shared" si="31"/>
        <v/>
      </c>
      <c r="S129" s="190" t="str">
        <f t="shared" si="31"/>
        <v/>
      </c>
      <c r="T129" s="181" t="str">
        <f t="shared" si="31"/>
        <v/>
      </c>
      <c r="U129" s="190" t="str">
        <f t="shared" si="31"/>
        <v/>
      </c>
      <c r="V129" s="181" t="str">
        <f t="shared" si="31"/>
        <v/>
      </c>
      <c r="W129" s="190" t="str">
        <f t="shared" si="31"/>
        <v/>
      </c>
      <c r="X129" s="181" t="str">
        <f t="shared" si="31"/>
        <v/>
      </c>
      <c r="Y129" s="190" t="str">
        <f t="shared" si="31"/>
        <v/>
      </c>
      <c r="Z129" s="181" t="str">
        <f t="shared" si="31"/>
        <v/>
      </c>
      <c r="AA129" s="190" t="str">
        <f t="shared" si="31"/>
        <v/>
      </c>
      <c r="AB129" s="181" t="str">
        <f t="shared" si="31"/>
        <v/>
      </c>
      <c r="AC129" s="190" t="str">
        <f t="shared" si="31"/>
        <v/>
      </c>
      <c r="AD129" s="181" t="str">
        <f t="shared" si="31"/>
        <v/>
      </c>
      <c r="AE129" s="190" t="str">
        <f t="shared" si="31"/>
        <v/>
      </c>
      <c r="AF129" s="181">
        <f t="shared" ref="AF129:AG141" si="32">IF(AF49=0,0,AF49/AF109)</f>
        <v>1740.8201160541587</v>
      </c>
      <c r="AG129" s="169">
        <f t="shared" si="32"/>
        <v>0</v>
      </c>
    </row>
    <row r="130" spans="2:33" x14ac:dyDescent="0.2">
      <c r="B130" s="34"/>
      <c r="C130" s="34"/>
      <c r="D130" s="184" t="str">
        <f t="shared" si="30"/>
        <v/>
      </c>
      <c r="E130" s="191" t="str">
        <f t="shared" si="30"/>
        <v/>
      </c>
      <c r="F130" s="184">
        <f t="shared" si="30"/>
        <v>1375.13</v>
      </c>
      <c r="G130" s="191" t="str">
        <f t="shared" si="30"/>
        <v/>
      </c>
      <c r="H130" s="184" t="str">
        <f t="shared" si="30"/>
        <v/>
      </c>
      <c r="I130" s="191" t="str">
        <f t="shared" ref="I130:AE130" si="33">IF(I50="","",I50/I110)</f>
        <v/>
      </c>
      <c r="J130" s="184" t="str">
        <f t="shared" si="33"/>
        <v/>
      </c>
      <c r="K130" s="191" t="str">
        <f t="shared" si="33"/>
        <v/>
      </c>
      <c r="L130" s="184" t="str">
        <f>IF(L50="","",L50/L110)</f>
        <v/>
      </c>
      <c r="M130" s="191" t="str">
        <f t="shared" si="33"/>
        <v/>
      </c>
      <c r="N130" s="184" t="str">
        <f t="shared" si="33"/>
        <v/>
      </c>
      <c r="O130" s="191" t="str">
        <f t="shared" si="33"/>
        <v/>
      </c>
      <c r="P130" s="184" t="str">
        <f t="shared" si="33"/>
        <v/>
      </c>
      <c r="Q130" s="191" t="str">
        <f t="shared" si="33"/>
        <v/>
      </c>
      <c r="R130" s="184" t="str">
        <f t="shared" si="33"/>
        <v/>
      </c>
      <c r="S130" s="191" t="str">
        <f t="shared" si="33"/>
        <v/>
      </c>
      <c r="T130" s="184" t="str">
        <f t="shared" si="33"/>
        <v/>
      </c>
      <c r="U130" s="191" t="str">
        <f t="shared" si="33"/>
        <v/>
      </c>
      <c r="V130" s="184" t="str">
        <f t="shared" si="33"/>
        <v/>
      </c>
      <c r="W130" s="191" t="str">
        <f t="shared" si="33"/>
        <v/>
      </c>
      <c r="X130" s="184" t="str">
        <f t="shared" si="33"/>
        <v/>
      </c>
      <c r="Y130" s="191" t="str">
        <f t="shared" si="33"/>
        <v/>
      </c>
      <c r="Z130" s="184" t="str">
        <f t="shared" si="33"/>
        <v/>
      </c>
      <c r="AA130" s="191" t="str">
        <f t="shared" si="33"/>
        <v/>
      </c>
      <c r="AB130" s="184" t="str">
        <f t="shared" si="33"/>
        <v/>
      </c>
      <c r="AC130" s="191" t="str">
        <f t="shared" si="33"/>
        <v/>
      </c>
      <c r="AD130" s="184" t="str">
        <f t="shared" si="33"/>
        <v/>
      </c>
      <c r="AE130" s="191" t="str">
        <f t="shared" si="33"/>
        <v/>
      </c>
      <c r="AF130" s="184">
        <f t="shared" si="32"/>
        <v>1375.13</v>
      </c>
      <c r="AG130" s="62">
        <f t="shared" si="32"/>
        <v>0</v>
      </c>
    </row>
    <row r="131" spans="2:33" x14ac:dyDescent="0.2">
      <c r="B131" s="34"/>
      <c r="C131" s="34"/>
      <c r="D131" s="184" t="str">
        <f t="shared" si="30"/>
        <v/>
      </c>
      <c r="E131" s="191" t="str">
        <f t="shared" si="30"/>
        <v/>
      </c>
      <c r="F131" s="184" t="str">
        <f t="shared" si="30"/>
        <v/>
      </c>
      <c r="G131" s="191" t="str">
        <f t="shared" si="30"/>
        <v/>
      </c>
      <c r="H131" s="184" t="str">
        <f t="shared" si="30"/>
        <v/>
      </c>
      <c r="I131" s="191" t="str">
        <f t="shared" ref="I131:AE131" si="34">IF(I51="","",I51/I111)</f>
        <v/>
      </c>
      <c r="J131" s="184">
        <f t="shared" si="34"/>
        <v>1000.25</v>
      </c>
      <c r="K131" s="191" t="str">
        <f t="shared" si="34"/>
        <v/>
      </c>
      <c r="L131" s="184" t="str">
        <f t="shared" si="34"/>
        <v/>
      </c>
      <c r="M131" s="191" t="str">
        <f t="shared" si="34"/>
        <v/>
      </c>
      <c r="N131" s="184" t="str">
        <f t="shared" si="34"/>
        <v/>
      </c>
      <c r="O131" s="191" t="str">
        <f t="shared" si="34"/>
        <v/>
      </c>
      <c r="P131" s="184" t="str">
        <f t="shared" si="34"/>
        <v/>
      </c>
      <c r="Q131" s="191" t="str">
        <f t="shared" si="34"/>
        <v/>
      </c>
      <c r="R131" s="184" t="str">
        <f t="shared" si="34"/>
        <v/>
      </c>
      <c r="S131" s="191" t="str">
        <f t="shared" si="34"/>
        <v/>
      </c>
      <c r="T131" s="184" t="str">
        <f t="shared" si="34"/>
        <v/>
      </c>
      <c r="U131" s="191" t="str">
        <f t="shared" si="34"/>
        <v/>
      </c>
      <c r="V131" s="184" t="str">
        <f t="shared" si="34"/>
        <v/>
      </c>
      <c r="W131" s="191" t="str">
        <f t="shared" si="34"/>
        <v/>
      </c>
      <c r="X131" s="184" t="str">
        <f t="shared" si="34"/>
        <v/>
      </c>
      <c r="Y131" s="191" t="str">
        <f t="shared" si="34"/>
        <v/>
      </c>
      <c r="Z131" s="184" t="str">
        <f t="shared" si="34"/>
        <v/>
      </c>
      <c r="AA131" s="191" t="str">
        <f t="shared" si="34"/>
        <v/>
      </c>
      <c r="AB131" s="184" t="str">
        <f t="shared" si="34"/>
        <v/>
      </c>
      <c r="AC131" s="191" t="str">
        <f t="shared" si="34"/>
        <v/>
      </c>
      <c r="AD131" s="184" t="str">
        <f t="shared" si="34"/>
        <v/>
      </c>
      <c r="AE131" s="191" t="str">
        <f t="shared" si="34"/>
        <v/>
      </c>
      <c r="AF131" s="184">
        <f t="shared" si="32"/>
        <v>1000.25</v>
      </c>
      <c r="AG131" s="62">
        <f t="shared" si="32"/>
        <v>0</v>
      </c>
    </row>
    <row r="132" spans="2:33" x14ac:dyDescent="0.2">
      <c r="B132" s="34"/>
      <c r="C132" s="34"/>
      <c r="D132" s="184" t="str">
        <f t="shared" si="30"/>
        <v/>
      </c>
      <c r="E132" s="191" t="str">
        <f t="shared" si="30"/>
        <v/>
      </c>
      <c r="F132" s="184" t="str">
        <f t="shared" si="30"/>
        <v/>
      </c>
      <c r="G132" s="191" t="str">
        <f t="shared" si="30"/>
        <v/>
      </c>
      <c r="H132" s="184" t="str">
        <f t="shared" si="30"/>
        <v/>
      </c>
      <c r="I132" s="191" t="str">
        <f t="shared" ref="I132:AE132" si="35">IF(I52="","",I52/I112)</f>
        <v/>
      </c>
      <c r="J132" s="184" t="str">
        <f t="shared" si="35"/>
        <v/>
      </c>
      <c r="K132" s="191" t="str">
        <f t="shared" si="35"/>
        <v/>
      </c>
      <c r="L132" s="184">
        <f t="shared" si="35"/>
        <v>1500.6533333333334</v>
      </c>
      <c r="M132" s="191" t="str">
        <f t="shared" si="35"/>
        <v/>
      </c>
      <c r="N132" s="184" t="str">
        <f t="shared" si="35"/>
        <v/>
      </c>
      <c r="O132" s="191" t="str">
        <f t="shared" si="35"/>
        <v/>
      </c>
      <c r="P132" s="184" t="str">
        <f t="shared" si="35"/>
        <v/>
      </c>
      <c r="Q132" s="191" t="str">
        <f t="shared" si="35"/>
        <v/>
      </c>
      <c r="R132" s="184" t="str">
        <f t="shared" si="35"/>
        <v/>
      </c>
      <c r="S132" s="191" t="str">
        <f t="shared" si="35"/>
        <v/>
      </c>
      <c r="T132" s="184" t="str">
        <f t="shared" si="35"/>
        <v/>
      </c>
      <c r="U132" s="191" t="str">
        <f t="shared" si="35"/>
        <v/>
      </c>
      <c r="V132" s="184" t="str">
        <f t="shared" si="35"/>
        <v/>
      </c>
      <c r="W132" s="191" t="str">
        <f t="shared" si="35"/>
        <v/>
      </c>
      <c r="X132" s="184" t="str">
        <f t="shared" si="35"/>
        <v/>
      </c>
      <c r="Y132" s="191" t="str">
        <f t="shared" si="35"/>
        <v/>
      </c>
      <c r="Z132" s="184" t="str">
        <f t="shared" si="35"/>
        <v/>
      </c>
      <c r="AA132" s="191" t="str">
        <f t="shared" si="35"/>
        <v/>
      </c>
      <c r="AB132" s="184" t="str">
        <f t="shared" si="35"/>
        <v/>
      </c>
      <c r="AC132" s="191" t="str">
        <f t="shared" si="35"/>
        <v/>
      </c>
      <c r="AD132" s="184" t="str">
        <f t="shared" si="35"/>
        <v/>
      </c>
      <c r="AE132" s="191" t="str">
        <f t="shared" si="35"/>
        <v/>
      </c>
      <c r="AF132" s="184">
        <f t="shared" si="32"/>
        <v>1500.6533333333334</v>
      </c>
      <c r="AG132" s="62">
        <f t="shared" si="32"/>
        <v>0</v>
      </c>
    </row>
    <row r="133" spans="2:33" x14ac:dyDescent="0.2">
      <c r="B133" s="34"/>
      <c r="C133" s="34"/>
      <c r="D133" s="184">
        <f t="shared" si="30"/>
        <v>1694.2964705882353</v>
      </c>
      <c r="E133" s="191" t="str">
        <f t="shared" si="30"/>
        <v/>
      </c>
      <c r="F133" s="184" t="str">
        <f t="shared" si="30"/>
        <v/>
      </c>
      <c r="G133" s="191" t="str">
        <f t="shared" si="30"/>
        <v/>
      </c>
      <c r="H133" s="184" t="str">
        <f t="shared" si="30"/>
        <v/>
      </c>
      <c r="I133" s="191" t="str">
        <f t="shared" ref="I133:AE133" si="36">IF(I53="","",I53/I113)</f>
        <v/>
      </c>
      <c r="J133" s="184" t="str">
        <f t="shared" si="36"/>
        <v/>
      </c>
      <c r="K133" s="191" t="str">
        <f t="shared" si="36"/>
        <v/>
      </c>
      <c r="L133" s="184" t="str">
        <f t="shared" si="36"/>
        <v/>
      </c>
      <c r="M133" s="191" t="str">
        <f t="shared" si="36"/>
        <v/>
      </c>
      <c r="N133" s="184" t="str">
        <f t="shared" si="36"/>
        <v/>
      </c>
      <c r="O133" s="191" t="str">
        <f t="shared" si="36"/>
        <v/>
      </c>
      <c r="P133" s="184" t="str">
        <f t="shared" si="36"/>
        <v/>
      </c>
      <c r="Q133" s="191" t="str">
        <f t="shared" si="36"/>
        <v/>
      </c>
      <c r="R133" s="184" t="str">
        <f t="shared" si="36"/>
        <v/>
      </c>
      <c r="S133" s="191" t="str">
        <f t="shared" si="36"/>
        <v/>
      </c>
      <c r="T133" s="184" t="str">
        <f t="shared" si="36"/>
        <v/>
      </c>
      <c r="U133" s="191" t="str">
        <f t="shared" si="36"/>
        <v/>
      </c>
      <c r="V133" s="184" t="str">
        <f t="shared" si="36"/>
        <v/>
      </c>
      <c r="W133" s="191" t="str">
        <f t="shared" si="36"/>
        <v/>
      </c>
      <c r="X133" s="184" t="str">
        <f t="shared" si="36"/>
        <v/>
      </c>
      <c r="Y133" s="191" t="str">
        <f t="shared" si="36"/>
        <v/>
      </c>
      <c r="Z133" s="184" t="str">
        <f t="shared" si="36"/>
        <v/>
      </c>
      <c r="AA133" s="191" t="str">
        <f t="shared" si="36"/>
        <v/>
      </c>
      <c r="AB133" s="184" t="str">
        <f t="shared" si="36"/>
        <v/>
      </c>
      <c r="AC133" s="191" t="str">
        <f t="shared" si="36"/>
        <v/>
      </c>
      <c r="AD133" s="184" t="str">
        <f t="shared" si="36"/>
        <v/>
      </c>
      <c r="AE133" s="191" t="str">
        <f t="shared" si="36"/>
        <v/>
      </c>
      <c r="AF133" s="184">
        <f t="shared" si="32"/>
        <v>1694.2964705882353</v>
      </c>
      <c r="AG133" s="62">
        <f t="shared" si="32"/>
        <v>0</v>
      </c>
    </row>
    <row r="134" spans="2:33" x14ac:dyDescent="0.2">
      <c r="B134" s="34"/>
      <c r="C134" s="34"/>
      <c r="D134" s="184" t="str">
        <f t="shared" si="30"/>
        <v/>
      </c>
      <c r="E134" s="191" t="str">
        <f t="shared" si="30"/>
        <v/>
      </c>
      <c r="F134" s="184" t="str">
        <f t="shared" si="30"/>
        <v/>
      </c>
      <c r="G134" s="191" t="str">
        <f t="shared" si="30"/>
        <v/>
      </c>
      <c r="H134" s="184" t="str">
        <f t="shared" si="30"/>
        <v/>
      </c>
      <c r="I134" s="191" t="str">
        <f t="shared" ref="I134:AE134" si="37">IF(I54="","",I54/I114)</f>
        <v/>
      </c>
      <c r="J134" s="184" t="str">
        <f t="shared" si="37"/>
        <v/>
      </c>
      <c r="K134" s="191" t="str">
        <f t="shared" si="37"/>
        <v/>
      </c>
      <c r="L134" s="184">
        <f t="shared" si="37"/>
        <v>1558.5443645083933</v>
      </c>
      <c r="M134" s="191" t="str">
        <f t="shared" si="37"/>
        <v/>
      </c>
      <c r="N134" s="184" t="str">
        <f t="shared" si="37"/>
        <v/>
      </c>
      <c r="O134" s="191" t="str">
        <f t="shared" si="37"/>
        <v/>
      </c>
      <c r="P134" s="184" t="str">
        <f t="shared" si="37"/>
        <v/>
      </c>
      <c r="Q134" s="191" t="str">
        <f t="shared" si="37"/>
        <v/>
      </c>
      <c r="R134" s="184" t="str">
        <f t="shared" si="37"/>
        <v/>
      </c>
      <c r="S134" s="191" t="str">
        <f t="shared" si="37"/>
        <v/>
      </c>
      <c r="T134" s="184" t="str">
        <f t="shared" si="37"/>
        <v/>
      </c>
      <c r="U134" s="191" t="str">
        <f t="shared" si="37"/>
        <v/>
      </c>
      <c r="V134" s="184" t="str">
        <f t="shared" si="37"/>
        <v/>
      </c>
      <c r="W134" s="191" t="str">
        <f t="shared" si="37"/>
        <v/>
      </c>
      <c r="X134" s="184" t="str">
        <f t="shared" si="37"/>
        <v/>
      </c>
      <c r="Y134" s="191" t="str">
        <f t="shared" si="37"/>
        <v/>
      </c>
      <c r="Z134" s="184" t="str">
        <f t="shared" si="37"/>
        <v/>
      </c>
      <c r="AA134" s="191" t="str">
        <f t="shared" si="37"/>
        <v/>
      </c>
      <c r="AB134" s="184" t="str">
        <f t="shared" si="37"/>
        <v/>
      </c>
      <c r="AC134" s="191" t="str">
        <f t="shared" si="37"/>
        <v/>
      </c>
      <c r="AD134" s="184" t="str">
        <f t="shared" si="37"/>
        <v/>
      </c>
      <c r="AE134" s="191" t="str">
        <f t="shared" si="37"/>
        <v/>
      </c>
      <c r="AF134" s="184">
        <f t="shared" si="32"/>
        <v>1558.5443645083933</v>
      </c>
      <c r="AG134" s="62">
        <f t="shared" si="32"/>
        <v>0</v>
      </c>
    </row>
    <row r="135" spans="2:33" x14ac:dyDescent="0.2">
      <c r="B135" s="34"/>
      <c r="C135" s="34"/>
      <c r="D135" s="184">
        <f t="shared" si="30"/>
        <v>2077.3825136612022</v>
      </c>
      <c r="E135" s="191" t="str">
        <f t="shared" si="30"/>
        <v/>
      </c>
      <c r="F135" s="184" t="str">
        <f t="shared" si="30"/>
        <v/>
      </c>
      <c r="G135" s="191" t="str">
        <f t="shared" si="30"/>
        <v/>
      </c>
      <c r="H135" s="184" t="str">
        <f t="shared" si="30"/>
        <v/>
      </c>
      <c r="I135" s="191" t="str">
        <f t="shared" ref="I135:AE135" si="38">IF(I55="","",I55/I115)</f>
        <v/>
      </c>
      <c r="J135" s="184" t="str">
        <f t="shared" si="38"/>
        <v/>
      </c>
      <c r="K135" s="191" t="str">
        <f t="shared" si="38"/>
        <v/>
      </c>
      <c r="L135" s="184" t="str">
        <f t="shared" si="38"/>
        <v/>
      </c>
      <c r="M135" s="191" t="str">
        <f t="shared" si="38"/>
        <v/>
      </c>
      <c r="N135" s="184" t="str">
        <f t="shared" si="38"/>
        <v/>
      </c>
      <c r="O135" s="191" t="str">
        <f t="shared" si="38"/>
        <v/>
      </c>
      <c r="P135" s="184" t="str">
        <f t="shared" si="38"/>
        <v/>
      </c>
      <c r="Q135" s="191" t="str">
        <f t="shared" si="38"/>
        <v/>
      </c>
      <c r="R135" s="184" t="str">
        <f t="shared" si="38"/>
        <v/>
      </c>
      <c r="S135" s="191" t="str">
        <f t="shared" si="38"/>
        <v/>
      </c>
      <c r="T135" s="184" t="str">
        <f t="shared" si="38"/>
        <v/>
      </c>
      <c r="U135" s="191" t="str">
        <f t="shared" si="38"/>
        <v/>
      </c>
      <c r="V135" s="184" t="str">
        <f t="shared" si="38"/>
        <v/>
      </c>
      <c r="W135" s="191" t="str">
        <f t="shared" si="38"/>
        <v/>
      </c>
      <c r="X135" s="184" t="str">
        <f t="shared" si="38"/>
        <v/>
      </c>
      <c r="Y135" s="191" t="str">
        <f t="shared" si="38"/>
        <v/>
      </c>
      <c r="Z135" s="184" t="str">
        <f t="shared" si="38"/>
        <v/>
      </c>
      <c r="AA135" s="191" t="str">
        <f t="shared" si="38"/>
        <v/>
      </c>
      <c r="AB135" s="184" t="str">
        <f t="shared" si="38"/>
        <v/>
      </c>
      <c r="AC135" s="191" t="str">
        <f t="shared" si="38"/>
        <v/>
      </c>
      <c r="AD135" s="184" t="str">
        <f t="shared" si="38"/>
        <v/>
      </c>
      <c r="AE135" s="191" t="str">
        <f t="shared" si="38"/>
        <v/>
      </c>
      <c r="AF135" s="184">
        <f t="shared" si="32"/>
        <v>2077.3825136612022</v>
      </c>
      <c r="AG135" s="62">
        <f t="shared" si="32"/>
        <v>0</v>
      </c>
    </row>
    <row r="136" spans="2:33" x14ac:dyDescent="0.2">
      <c r="B136" s="34"/>
      <c r="C136" s="34"/>
      <c r="D136" s="184" t="str">
        <f t="shared" ref="D136:AE136" si="39">IF(D56="","",D56/D116)</f>
        <v/>
      </c>
      <c r="E136" s="191" t="str">
        <f t="shared" si="39"/>
        <v/>
      </c>
      <c r="F136" s="184" t="str">
        <f t="shared" si="39"/>
        <v/>
      </c>
      <c r="G136" s="191" t="str">
        <f t="shared" si="39"/>
        <v/>
      </c>
      <c r="H136" s="184" t="str">
        <f t="shared" si="39"/>
        <v/>
      </c>
      <c r="I136" s="191" t="str">
        <f t="shared" si="39"/>
        <v/>
      </c>
      <c r="J136" s="184" t="str">
        <f t="shared" si="39"/>
        <v/>
      </c>
      <c r="K136" s="191" t="str">
        <f t="shared" si="39"/>
        <v/>
      </c>
      <c r="L136" s="184" t="str">
        <f t="shared" si="39"/>
        <v/>
      </c>
      <c r="M136" s="191" t="str">
        <f t="shared" si="39"/>
        <v/>
      </c>
      <c r="N136" s="184" t="str">
        <f t="shared" si="39"/>
        <v/>
      </c>
      <c r="O136" s="191" t="str">
        <f t="shared" si="39"/>
        <v/>
      </c>
      <c r="P136" s="184" t="str">
        <f t="shared" si="39"/>
        <v/>
      </c>
      <c r="Q136" s="191" t="str">
        <f t="shared" si="39"/>
        <v/>
      </c>
      <c r="R136" s="184" t="str">
        <f t="shared" si="39"/>
        <v/>
      </c>
      <c r="S136" s="191" t="str">
        <f t="shared" si="39"/>
        <v/>
      </c>
      <c r="T136" s="184" t="str">
        <f t="shared" si="39"/>
        <v/>
      </c>
      <c r="U136" s="191" t="str">
        <f t="shared" si="39"/>
        <v/>
      </c>
      <c r="V136" s="184" t="str">
        <f t="shared" si="39"/>
        <v/>
      </c>
      <c r="W136" s="191" t="str">
        <f t="shared" si="39"/>
        <v/>
      </c>
      <c r="X136" s="184" t="str">
        <f t="shared" si="39"/>
        <v/>
      </c>
      <c r="Y136" s="191" t="str">
        <f t="shared" si="39"/>
        <v/>
      </c>
      <c r="Z136" s="184" t="str">
        <f t="shared" si="39"/>
        <v/>
      </c>
      <c r="AA136" s="191" t="str">
        <f t="shared" si="39"/>
        <v/>
      </c>
      <c r="AB136" s="184" t="str">
        <f t="shared" si="39"/>
        <v/>
      </c>
      <c r="AC136" s="191" t="str">
        <f t="shared" si="39"/>
        <v/>
      </c>
      <c r="AD136" s="184" t="str">
        <f t="shared" si="39"/>
        <v/>
      </c>
      <c r="AE136" s="191" t="str">
        <f t="shared" si="39"/>
        <v/>
      </c>
      <c r="AF136" s="184">
        <f t="shared" si="32"/>
        <v>0</v>
      </c>
      <c r="AG136" s="62">
        <f t="shared" si="32"/>
        <v>0</v>
      </c>
    </row>
    <row r="137" spans="2:33" x14ac:dyDescent="0.2">
      <c r="B137" s="34"/>
      <c r="C137" s="34"/>
      <c r="D137" s="184" t="str">
        <f t="shared" ref="D137:AE137" si="40">IF(D57="","",D57/D117)</f>
        <v/>
      </c>
      <c r="E137" s="191" t="str">
        <f t="shared" si="40"/>
        <v/>
      </c>
      <c r="F137" s="184" t="str">
        <f t="shared" si="40"/>
        <v/>
      </c>
      <c r="G137" s="191" t="str">
        <f t="shared" si="40"/>
        <v/>
      </c>
      <c r="H137" s="184" t="str">
        <f t="shared" si="40"/>
        <v/>
      </c>
      <c r="I137" s="191" t="str">
        <f t="shared" si="40"/>
        <v/>
      </c>
      <c r="J137" s="184" t="str">
        <f t="shared" si="40"/>
        <v/>
      </c>
      <c r="K137" s="191" t="str">
        <f t="shared" si="40"/>
        <v/>
      </c>
      <c r="L137" s="184" t="str">
        <f t="shared" si="40"/>
        <v/>
      </c>
      <c r="M137" s="191" t="str">
        <f t="shared" si="40"/>
        <v/>
      </c>
      <c r="N137" s="184" t="str">
        <f t="shared" si="40"/>
        <v/>
      </c>
      <c r="O137" s="191" t="str">
        <f t="shared" si="40"/>
        <v/>
      </c>
      <c r="P137" s="184" t="str">
        <f t="shared" si="40"/>
        <v/>
      </c>
      <c r="Q137" s="191" t="str">
        <f t="shared" si="40"/>
        <v/>
      </c>
      <c r="R137" s="184" t="str">
        <f t="shared" si="40"/>
        <v/>
      </c>
      <c r="S137" s="191" t="str">
        <f t="shared" si="40"/>
        <v/>
      </c>
      <c r="T137" s="184" t="str">
        <f t="shared" si="40"/>
        <v/>
      </c>
      <c r="U137" s="191" t="str">
        <f t="shared" si="40"/>
        <v/>
      </c>
      <c r="V137" s="184" t="str">
        <f t="shared" si="40"/>
        <v/>
      </c>
      <c r="W137" s="191" t="str">
        <f t="shared" si="40"/>
        <v/>
      </c>
      <c r="X137" s="184" t="str">
        <f t="shared" si="40"/>
        <v/>
      </c>
      <c r="Y137" s="191" t="str">
        <f t="shared" si="40"/>
        <v/>
      </c>
      <c r="Z137" s="184" t="str">
        <f t="shared" si="40"/>
        <v/>
      </c>
      <c r="AA137" s="191" t="str">
        <f t="shared" si="40"/>
        <v/>
      </c>
      <c r="AB137" s="184" t="str">
        <f t="shared" si="40"/>
        <v/>
      </c>
      <c r="AC137" s="191" t="str">
        <f t="shared" si="40"/>
        <v/>
      </c>
      <c r="AD137" s="184" t="str">
        <f t="shared" si="40"/>
        <v/>
      </c>
      <c r="AE137" s="191" t="str">
        <f t="shared" si="40"/>
        <v/>
      </c>
      <c r="AF137" s="184">
        <f t="shared" si="32"/>
        <v>0</v>
      </c>
      <c r="AG137" s="62">
        <f t="shared" si="32"/>
        <v>0</v>
      </c>
    </row>
    <row r="138" spans="2:33" x14ac:dyDescent="0.2">
      <c r="B138" s="34"/>
      <c r="C138" s="34"/>
      <c r="D138" s="184" t="str">
        <f t="shared" ref="D138:AE138" si="41">IF(D58="","",D58/D118)</f>
        <v/>
      </c>
      <c r="E138" s="191" t="str">
        <f t="shared" si="41"/>
        <v/>
      </c>
      <c r="F138" s="184" t="str">
        <f t="shared" si="41"/>
        <v/>
      </c>
      <c r="G138" s="191" t="str">
        <f t="shared" si="41"/>
        <v/>
      </c>
      <c r="H138" s="184" t="str">
        <f t="shared" si="41"/>
        <v/>
      </c>
      <c r="I138" s="191" t="str">
        <f t="shared" si="41"/>
        <v/>
      </c>
      <c r="J138" s="184" t="str">
        <f t="shared" si="41"/>
        <v/>
      </c>
      <c r="K138" s="191" t="str">
        <f t="shared" si="41"/>
        <v/>
      </c>
      <c r="L138" s="184" t="str">
        <f t="shared" si="41"/>
        <v/>
      </c>
      <c r="M138" s="191" t="str">
        <f t="shared" si="41"/>
        <v/>
      </c>
      <c r="N138" s="184" t="str">
        <f t="shared" si="41"/>
        <v/>
      </c>
      <c r="O138" s="191" t="str">
        <f t="shared" si="41"/>
        <v/>
      </c>
      <c r="P138" s="184" t="str">
        <f t="shared" si="41"/>
        <v/>
      </c>
      <c r="Q138" s="191" t="str">
        <f t="shared" si="41"/>
        <v/>
      </c>
      <c r="R138" s="184" t="str">
        <f t="shared" si="41"/>
        <v/>
      </c>
      <c r="S138" s="191" t="str">
        <f t="shared" si="41"/>
        <v/>
      </c>
      <c r="T138" s="184" t="str">
        <f t="shared" si="41"/>
        <v/>
      </c>
      <c r="U138" s="191" t="str">
        <f t="shared" si="41"/>
        <v/>
      </c>
      <c r="V138" s="184" t="str">
        <f t="shared" si="41"/>
        <v/>
      </c>
      <c r="W138" s="191" t="str">
        <f t="shared" si="41"/>
        <v/>
      </c>
      <c r="X138" s="184" t="str">
        <f t="shared" si="41"/>
        <v/>
      </c>
      <c r="Y138" s="191" t="str">
        <f t="shared" si="41"/>
        <v/>
      </c>
      <c r="Z138" s="184" t="str">
        <f t="shared" si="41"/>
        <v/>
      </c>
      <c r="AA138" s="191" t="str">
        <f t="shared" si="41"/>
        <v/>
      </c>
      <c r="AB138" s="184" t="str">
        <f t="shared" si="41"/>
        <v/>
      </c>
      <c r="AC138" s="191" t="str">
        <f t="shared" si="41"/>
        <v/>
      </c>
      <c r="AD138" s="184" t="str">
        <f t="shared" si="41"/>
        <v/>
      </c>
      <c r="AE138" s="191" t="str">
        <f t="shared" si="41"/>
        <v/>
      </c>
      <c r="AF138" s="184">
        <f t="shared" si="32"/>
        <v>0</v>
      </c>
      <c r="AG138" s="62">
        <f t="shared" si="32"/>
        <v>0</v>
      </c>
    </row>
    <row r="139" spans="2:33" x14ac:dyDescent="0.2">
      <c r="B139" s="34"/>
      <c r="C139" s="34"/>
      <c r="D139" s="184" t="str">
        <f t="shared" ref="D139:AE139" si="42">IF(D59="","",D59/D119)</f>
        <v/>
      </c>
      <c r="E139" s="191" t="str">
        <f t="shared" si="42"/>
        <v/>
      </c>
      <c r="F139" s="184" t="str">
        <f t="shared" si="42"/>
        <v/>
      </c>
      <c r="G139" s="191" t="str">
        <f t="shared" si="42"/>
        <v/>
      </c>
      <c r="H139" s="184" t="str">
        <f t="shared" si="42"/>
        <v/>
      </c>
      <c r="I139" s="191" t="str">
        <f t="shared" si="42"/>
        <v/>
      </c>
      <c r="J139" s="184" t="str">
        <f t="shared" si="42"/>
        <v/>
      </c>
      <c r="K139" s="191" t="str">
        <f t="shared" si="42"/>
        <v/>
      </c>
      <c r="L139" s="184" t="str">
        <f t="shared" si="42"/>
        <v/>
      </c>
      <c r="M139" s="191" t="str">
        <f t="shared" si="42"/>
        <v/>
      </c>
      <c r="N139" s="184" t="str">
        <f t="shared" si="42"/>
        <v/>
      </c>
      <c r="O139" s="191" t="str">
        <f t="shared" si="42"/>
        <v/>
      </c>
      <c r="P139" s="184" t="str">
        <f t="shared" si="42"/>
        <v/>
      </c>
      <c r="Q139" s="191" t="str">
        <f t="shared" si="42"/>
        <v/>
      </c>
      <c r="R139" s="184" t="str">
        <f t="shared" si="42"/>
        <v/>
      </c>
      <c r="S139" s="191" t="str">
        <f t="shared" si="42"/>
        <v/>
      </c>
      <c r="T139" s="184" t="str">
        <f t="shared" si="42"/>
        <v/>
      </c>
      <c r="U139" s="191" t="str">
        <f t="shared" si="42"/>
        <v/>
      </c>
      <c r="V139" s="184" t="str">
        <f t="shared" si="42"/>
        <v/>
      </c>
      <c r="W139" s="191" t="str">
        <f t="shared" si="42"/>
        <v/>
      </c>
      <c r="X139" s="184" t="str">
        <f t="shared" si="42"/>
        <v/>
      </c>
      <c r="Y139" s="191" t="str">
        <f t="shared" si="42"/>
        <v/>
      </c>
      <c r="Z139" s="184" t="str">
        <f t="shared" si="42"/>
        <v/>
      </c>
      <c r="AA139" s="191" t="str">
        <f t="shared" si="42"/>
        <v/>
      </c>
      <c r="AB139" s="184" t="str">
        <f t="shared" si="42"/>
        <v/>
      </c>
      <c r="AC139" s="191" t="str">
        <f t="shared" si="42"/>
        <v/>
      </c>
      <c r="AD139" s="184" t="str">
        <f t="shared" si="42"/>
        <v/>
      </c>
      <c r="AE139" s="191" t="str">
        <f t="shared" si="42"/>
        <v/>
      </c>
      <c r="AF139" s="184">
        <f t="shared" si="32"/>
        <v>0</v>
      </c>
      <c r="AG139" s="62">
        <f t="shared" si="32"/>
        <v>0</v>
      </c>
    </row>
    <row r="140" spans="2:33" x14ac:dyDescent="0.2">
      <c r="B140" s="34"/>
      <c r="C140" s="34"/>
      <c r="D140" s="184" t="str">
        <f t="shared" ref="D140:AE140" si="43">IF(D60="","",D60/D120)</f>
        <v/>
      </c>
      <c r="E140" s="191" t="str">
        <f t="shared" si="43"/>
        <v/>
      </c>
      <c r="F140" s="184" t="str">
        <f t="shared" si="43"/>
        <v/>
      </c>
      <c r="G140" s="191" t="str">
        <f t="shared" si="43"/>
        <v/>
      </c>
      <c r="H140" s="184" t="str">
        <f t="shared" si="43"/>
        <v/>
      </c>
      <c r="I140" s="191" t="str">
        <f t="shared" si="43"/>
        <v/>
      </c>
      <c r="J140" s="184" t="str">
        <f t="shared" si="43"/>
        <v/>
      </c>
      <c r="K140" s="191" t="str">
        <f t="shared" si="43"/>
        <v/>
      </c>
      <c r="L140" s="184" t="str">
        <f t="shared" si="43"/>
        <v/>
      </c>
      <c r="M140" s="191" t="str">
        <f t="shared" si="43"/>
        <v/>
      </c>
      <c r="N140" s="184" t="str">
        <f t="shared" si="43"/>
        <v/>
      </c>
      <c r="O140" s="191" t="str">
        <f t="shared" si="43"/>
        <v/>
      </c>
      <c r="P140" s="184" t="str">
        <f t="shared" si="43"/>
        <v/>
      </c>
      <c r="Q140" s="191" t="str">
        <f t="shared" si="43"/>
        <v/>
      </c>
      <c r="R140" s="184" t="str">
        <f t="shared" si="43"/>
        <v/>
      </c>
      <c r="S140" s="191" t="str">
        <f t="shared" si="43"/>
        <v/>
      </c>
      <c r="T140" s="184" t="str">
        <f t="shared" si="43"/>
        <v/>
      </c>
      <c r="U140" s="191" t="str">
        <f t="shared" si="43"/>
        <v/>
      </c>
      <c r="V140" s="184" t="str">
        <f t="shared" si="43"/>
        <v/>
      </c>
      <c r="W140" s="191" t="str">
        <f t="shared" si="43"/>
        <v/>
      </c>
      <c r="X140" s="184" t="str">
        <f t="shared" si="43"/>
        <v/>
      </c>
      <c r="Y140" s="191" t="str">
        <f t="shared" si="43"/>
        <v/>
      </c>
      <c r="Z140" s="184" t="str">
        <f t="shared" si="43"/>
        <v/>
      </c>
      <c r="AA140" s="191" t="str">
        <f t="shared" si="43"/>
        <v/>
      </c>
      <c r="AB140" s="184" t="str">
        <f t="shared" si="43"/>
        <v/>
      </c>
      <c r="AC140" s="191" t="str">
        <f t="shared" si="43"/>
        <v/>
      </c>
      <c r="AD140" s="184" t="str">
        <f t="shared" si="43"/>
        <v/>
      </c>
      <c r="AE140" s="191" t="str">
        <f t="shared" si="43"/>
        <v/>
      </c>
      <c r="AF140" s="184">
        <f t="shared" si="32"/>
        <v>0</v>
      </c>
      <c r="AG140" s="62">
        <f t="shared" si="32"/>
        <v>0</v>
      </c>
    </row>
    <row r="141" spans="2:33" x14ac:dyDescent="0.2">
      <c r="B141" s="34"/>
      <c r="C141" s="34"/>
      <c r="D141" s="188" t="str">
        <f t="shared" ref="D141:AE141" si="44">IF(D61="","",D61/D121)</f>
        <v/>
      </c>
      <c r="E141" s="193" t="str">
        <f t="shared" si="44"/>
        <v/>
      </c>
      <c r="F141" s="188" t="str">
        <f t="shared" si="44"/>
        <v/>
      </c>
      <c r="G141" s="193" t="str">
        <f t="shared" si="44"/>
        <v/>
      </c>
      <c r="H141" s="188" t="str">
        <f t="shared" si="44"/>
        <v/>
      </c>
      <c r="I141" s="193" t="str">
        <f t="shared" si="44"/>
        <v/>
      </c>
      <c r="J141" s="188" t="str">
        <f t="shared" si="44"/>
        <v/>
      </c>
      <c r="K141" s="193" t="str">
        <f t="shared" si="44"/>
        <v/>
      </c>
      <c r="L141" s="188" t="str">
        <f t="shared" si="44"/>
        <v/>
      </c>
      <c r="M141" s="193" t="str">
        <f t="shared" si="44"/>
        <v/>
      </c>
      <c r="N141" s="188" t="str">
        <f t="shared" si="44"/>
        <v/>
      </c>
      <c r="O141" s="193" t="str">
        <f t="shared" si="44"/>
        <v/>
      </c>
      <c r="P141" s="188" t="str">
        <f t="shared" si="44"/>
        <v/>
      </c>
      <c r="Q141" s="193" t="str">
        <f t="shared" si="44"/>
        <v/>
      </c>
      <c r="R141" s="188" t="str">
        <f t="shared" si="44"/>
        <v/>
      </c>
      <c r="S141" s="193" t="str">
        <f t="shared" si="44"/>
        <v/>
      </c>
      <c r="T141" s="188" t="str">
        <f t="shared" si="44"/>
        <v/>
      </c>
      <c r="U141" s="193" t="str">
        <f t="shared" si="44"/>
        <v/>
      </c>
      <c r="V141" s="188" t="str">
        <f t="shared" si="44"/>
        <v/>
      </c>
      <c r="W141" s="193" t="str">
        <f t="shared" si="44"/>
        <v/>
      </c>
      <c r="X141" s="188" t="str">
        <f t="shared" si="44"/>
        <v/>
      </c>
      <c r="Y141" s="193" t="str">
        <f t="shared" si="44"/>
        <v/>
      </c>
      <c r="Z141" s="188" t="str">
        <f t="shared" si="44"/>
        <v/>
      </c>
      <c r="AA141" s="193" t="str">
        <f t="shared" si="44"/>
        <v/>
      </c>
      <c r="AB141" s="188" t="str">
        <f t="shared" si="44"/>
        <v/>
      </c>
      <c r="AC141" s="193" t="str">
        <f t="shared" si="44"/>
        <v/>
      </c>
      <c r="AD141" s="188" t="str">
        <f t="shared" si="44"/>
        <v/>
      </c>
      <c r="AE141" s="193" t="str">
        <f t="shared" si="44"/>
        <v/>
      </c>
      <c r="AF141" s="188">
        <f t="shared" si="32"/>
        <v>0</v>
      </c>
      <c r="AG141" s="176">
        <f t="shared" si="32"/>
        <v>0</v>
      </c>
    </row>
    <row r="142" spans="2:33" ht="3" customHeight="1" x14ac:dyDescent="0.2">
      <c r="B142" s="34"/>
      <c r="C142" s="34"/>
      <c r="D142" s="34"/>
      <c r="E142" s="152"/>
      <c r="F142" s="34"/>
      <c r="G142" s="152"/>
      <c r="H142" s="34"/>
      <c r="I142" s="152"/>
      <c r="J142" s="34"/>
      <c r="K142" s="152"/>
      <c r="L142" s="34"/>
      <c r="M142" s="152"/>
      <c r="N142" s="34"/>
      <c r="O142" s="152"/>
      <c r="P142" s="34"/>
      <c r="Q142" s="152"/>
      <c r="R142" s="34"/>
      <c r="S142" s="152"/>
      <c r="T142" s="34"/>
      <c r="U142" s="152"/>
      <c r="V142" s="34"/>
      <c r="W142" s="152"/>
      <c r="X142" s="34"/>
      <c r="Y142" s="152"/>
      <c r="Z142" s="34"/>
      <c r="AA142" s="152"/>
      <c r="AB142" s="34"/>
      <c r="AC142" s="152"/>
      <c r="AD142" s="34"/>
      <c r="AE142" s="152"/>
      <c r="AF142" s="34"/>
      <c r="AG142" s="152"/>
    </row>
    <row r="143" spans="2:33" x14ac:dyDescent="0.2">
      <c r="B143" s="34"/>
      <c r="C143" s="34"/>
      <c r="D143" s="189">
        <f t="shared" ref="D143:AG143" si="45">IF(D63=0,0,D63/D123)</f>
        <v>1809.6003289473686</v>
      </c>
      <c r="E143" s="165">
        <f t="shared" si="45"/>
        <v>0</v>
      </c>
      <c r="F143" s="189">
        <f t="shared" si="45"/>
        <v>1375.13</v>
      </c>
      <c r="G143" s="165">
        <f t="shared" si="45"/>
        <v>0</v>
      </c>
      <c r="H143" s="189">
        <f t="shared" si="45"/>
        <v>0</v>
      </c>
      <c r="I143" s="164">
        <f t="shared" si="45"/>
        <v>0</v>
      </c>
      <c r="J143" s="189">
        <f t="shared" si="45"/>
        <v>1534.2454672245469</v>
      </c>
      <c r="K143" s="164">
        <f t="shared" si="45"/>
        <v>0</v>
      </c>
      <c r="L143" s="189">
        <f t="shared" si="45"/>
        <v>1534.3221757322176</v>
      </c>
      <c r="M143" s="164">
        <f t="shared" si="45"/>
        <v>0</v>
      </c>
      <c r="N143" s="189">
        <f t="shared" si="45"/>
        <v>0</v>
      </c>
      <c r="O143" s="164">
        <f t="shared" si="45"/>
        <v>0</v>
      </c>
      <c r="P143" s="189">
        <f t="shared" si="45"/>
        <v>0</v>
      </c>
      <c r="Q143" s="164">
        <f t="shared" si="45"/>
        <v>0</v>
      </c>
      <c r="R143" s="189">
        <f t="shared" si="45"/>
        <v>0</v>
      </c>
      <c r="S143" s="164">
        <f t="shared" si="45"/>
        <v>0</v>
      </c>
      <c r="T143" s="189">
        <f t="shared" si="45"/>
        <v>0</v>
      </c>
      <c r="U143" s="164">
        <f t="shared" si="45"/>
        <v>0</v>
      </c>
      <c r="V143" s="189">
        <f t="shared" si="45"/>
        <v>0</v>
      </c>
      <c r="W143" s="164">
        <f t="shared" si="45"/>
        <v>0</v>
      </c>
      <c r="X143" s="189">
        <f t="shared" si="45"/>
        <v>0</v>
      </c>
      <c r="Y143" s="164">
        <f t="shared" si="45"/>
        <v>0</v>
      </c>
      <c r="Z143" s="189">
        <f t="shared" si="45"/>
        <v>0</v>
      </c>
      <c r="AA143" s="164">
        <f t="shared" si="45"/>
        <v>0</v>
      </c>
      <c r="AB143" s="189">
        <f t="shared" si="45"/>
        <v>0</v>
      </c>
      <c r="AC143" s="164">
        <f t="shared" si="45"/>
        <v>0</v>
      </c>
      <c r="AD143" s="189">
        <f t="shared" si="45"/>
        <v>0</v>
      </c>
      <c r="AE143" s="164">
        <f t="shared" si="45"/>
        <v>0</v>
      </c>
      <c r="AF143" s="189">
        <f t="shared" si="45"/>
        <v>1548.3828289936664</v>
      </c>
      <c r="AG143" s="164">
        <f t="shared" si="45"/>
        <v>0</v>
      </c>
    </row>
    <row r="144" spans="2:33" x14ac:dyDescent="0.2">
      <c r="B144" s="34"/>
      <c r="C144" s="34"/>
      <c r="D144" s="35"/>
      <c r="E144" s="36"/>
      <c r="F144" s="35"/>
      <c r="G144" s="36"/>
      <c r="H144" s="35"/>
      <c r="I144" s="36"/>
      <c r="J144" s="35"/>
      <c r="K144" s="36"/>
      <c r="L144" s="35"/>
      <c r="M144" s="36"/>
      <c r="N144" s="35"/>
      <c r="O144" s="36"/>
      <c r="P144" s="36"/>
      <c r="Q144" s="36"/>
      <c r="R144" s="35"/>
      <c r="S144" s="35"/>
      <c r="T144" s="35"/>
      <c r="U144" s="35"/>
      <c r="V144" s="35"/>
      <c r="W144" s="35"/>
      <c r="X144" s="35"/>
      <c r="Y144" s="35"/>
      <c r="Z144" s="35"/>
      <c r="AA144" s="36"/>
    </row>
    <row r="145" spans="2:32" x14ac:dyDescent="0.2">
      <c r="B145" s="34"/>
      <c r="C145" s="34"/>
      <c r="D145" s="35"/>
      <c r="E145" s="36"/>
      <c r="F145" s="35"/>
      <c r="G145" s="36"/>
      <c r="H145" s="35"/>
      <c r="I145" s="36"/>
      <c r="J145" s="35"/>
      <c r="K145" s="36"/>
      <c r="L145" s="35"/>
      <c r="M145" s="36"/>
      <c r="N145" s="35"/>
      <c r="O145" s="36"/>
      <c r="P145" s="36"/>
      <c r="Q145" s="36"/>
      <c r="R145" s="35"/>
      <c r="S145" s="35"/>
      <c r="T145" s="35"/>
      <c r="U145" s="35"/>
      <c r="V145" s="35"/>
      <c r="W145" s="35"/>
      <c r="X145" s="35"/>
      <c r="Y145" s="35"/>
      <c r="Z145" s="35"/>
      <c r="AA145" s="36"/>
    </row>
    <row r="146" spans="2:32" hidden="1" x14ac:dyDescent="0.2">
      <c r="B146" s="308" t="s">
        <v>75</v>
      </c>
      <c r="C146" s="309"/>
      <c r="D146" s="309"/>
      <c r="E146" s="310"/>
      <c r="F146" s="361" t="s">
        <v>76</v>
      </c>
      <c r="G146" s="362"/>
      <c r="H146" s="362"/>
      <c r="I146" s="362"/>
      <c r="J146" s="362"/>
      <c r="K146" s="362"/>
      <c r="L146" s="362"/>
      <c r="M146" s="362"/>
      <c r="N146" s="362"/>
      <c r="O146" s="363"/>
      <c r="P146" s="36"/>
      <c r="Q146" s="36"/>
      <c r="R146" s="35"/>
      <c r="S146" s="35"/>
      <c r="T146" s="35"/>
      <c r="U146" s="35"/>
      <c r="V146" s="35"/>
      <c r="W146" s="35"/>
      <c r="X146" s="35"/>
      <c r="Y146" s="35"/>
      <c r="Z146" s="35"/>
      <c r="AA146" s="36"/>
    </row>
    <row r="147" spans="2:32" hidden="1" x14ac:dyDescent="0.2">
      <c r="B147" s="77" t="s">
        <v>62</v>
      </c>
      <c r="C147" s="5"/>
      <c r="D147" s="274"/>
      <c r="E147" s="275"/>
      <c r="F147" s="274"/>
      <c r="G147" s="387"/>
      <c r="H147" s="387"/>
      <c r="I147" s="387"/>
      <c r="J147" s="387"/>
      <c r="K147" s="387"/>
      <c r="L147" s="387"/>
      <c r="M147" s="387"/>
      <c r="N147" s="387"/>
      <c r="O147" s="275"/>
      <c r="P147" s="36"/>
      <c r="Q147" s="36"/>
      <c r="R147" s="35"/>
      <c r="S147" s="35"/>
      <c r="T147" s="35"/>
      <c r="U147" s="35"/>
      <c r="V147" s="35"/>
      <c r="W147" s="35"/>
      <c r="X147" s="35"/>
      <c r="Y147" s="35"/>
      <c r="Z147" s="35"/>
      <c r="AA147" s="36"/>
    </row>
    <row r="148" spans="2:32" hidden="1" x14ac:dyDescent="0.2">
      <c r="B148" s="75" t="s">
        <v>60</v>
      </c>
      <c r="C148" s="6"/>
      <c r="D148" s="267"/>
      <c r="E148" s="268"/>
      <c r="F148" s="267"/>
      <c r="G148" s="276"/>
      <c r="H148" s="276"/>
      <c r="I148" s="276"/>
      <c r="J148" s="276"/>
      <c r="K148" s="276"/>
      <c r="L148" s="276"/>
      <c r="M148" s="276"/>
      <c r="N148" s="276"/>
      <c r="O148" s="268"/>
      <c r="P148" s="36"/>
      <c r="Q148" s="36"/>
      <c r="R148" s="35"/>
      <c r="S148" s="35"/>
      <c r="T148" s="35"/>
      <c r="U148" s="35"/>
      <c r="V148" s="35"/>
      <c r="W148" s="35"/>
      <c r="X148" s="35"/>
      <c r="Y148" s="35"/>
      <c r="Z148" s="35"/>
      <c r="AA148" s="36"/>
    </row>
    <row r="149" spans="2:32" hidden="1" x14ac:dyDescent="0.2">
      <c r="B149" s="75" t="s">
        <v>63</v>
      </c>
      <c r="C149" s="6"/>
      <c r="D149" s="267"/>
      <c r="E149" s="268"/>
      <c r="F149" s="267"/>
      <c r="G149" s="276"/>
      <c r="H149" s="276"/>
      <c r="I149" s="276"/>
      <c r="J149" s="276"/>
      <c r="K149" s="276"/>
      <c r="L149" s="276"/>
      <c r="M149" s="276"/>
      <c r="N149" s="276"/>
      <c r="O149" s="268"/>
      <c r="P149" s="36"/>
      <c r="Q149" s="36"/>
      <c r="R149" s="35"/>
      <c r="S149" s="35"/>
      <c r="T149" s="35"/>
      <c r="U149" s="35"/>
      <c r="V149" s="35"/>
      <c r="W149" s="35"/>
      <c r="X149" s="35"/>
      <c r="Y149" s="35"/>
      <c r="Z149" s="35"/>
      <c r="AA149" s="36"/>
    </row>
    <row r="150" spans="2:32" hidden="1" x14ac:dyDescent="0.2">
      <c r="B150" s="75" t="s">
        <v>92</v>
      </c>
      <c r="C150" s="6"/>
      <c r="D150" s="267">
        <v>8.2299999999999998E-2</v>
      </c>
      <c r="E150" s="268"/>
      <c r="F150" s="267"/>
      <c r="G150" s="276"/>
      <c r="H150" s="276"/>
      <c r="I150" s="276"/>
      <c r="J150" s="276"/>
      <c r="K150" s="276"/>
      <c r="L150" s="276"/>
      <c r="M150" s="276"/>
      <c r="N150" s="276"/>
      <c r="O150" s="268"/>
      <c r="P150" s="36"/>
      <c r="Q150" s="36"/>
      <c r="R150" s="35"/>
      <c r="S150" s="35"/>
      <c r="T150" s="35"/>
      <c r="U150" s="35"/>
      <c r="V150" s="35"/>
      <c r="W150" s="35"/>
      <c r="X150" s="35"/>
      <c r="Y150" s="35"/>
      <c r="Z150" s="35"/>
      <c r="AA150" s="36"/>
    </row>
    <row r="151" spans="2:32" hidden="1" x14ac:dyDescent="0.2">
      <c r="B151" s="75" t="s">
        <v>139</v>
      </c>
      <c r="C151" s="6"/>
      <c r="D151" s="277"/>
      <c r="E151" s="278"/>
      <c r="F151" s="70"/>
      <c r="G151" s="74"/>
      <c r="H151" s="74"/>
      <c r="I151" s="74"/>
      <c r="J151" s="74"/>
      <c r="K151" s="74"/>
      <c r="L151" s="74"/>
      <c r="M151" s="74"/>
      <c r="N151" s="74"/>
      <c r="O151" s="71"/>
      <c r="P151" s="36"/>
      <c r="Q151" s="36"/>
      <c r="R151" s="35"/>
      <c r="S151" s="35"/>
      <c r="T151" s="35"/>
      <c r="U151" s="35"/>
      <c r="V151" s="35"/>
      <c r="W151" s="35"/>
      <c r="X151" s="35"/>
      <c r="Y151" s="35"/>
      <c r="Z151" s="35"/>
      <c r="AA151" s="36"/>
    </row>
    <row r="152" spans="2:32" hidden="1" x14ac:dyDescent="0.2">
      <c r="B152" s="75" t="s">
        <v>93</v>
      </c>
      <c r="C152" s="6"/>
      <c r="D152" s="267"/>
      <c r="E152" s="268"/>
      <c r="F152" s="267"/>
      <c r="G152" s="276"/>
      <c r="H152" s="276"/>
      <c r="I152" s="276"/>
      <c r="J152" s="276"/>
      <c r="K152" s="276"/>
      <c r="L152" s="276"/>
      <c r="M152" s="276"/>
      <c r="N152" s="276"/>
      <c r="O152" s="268"/>
      <c r="P152" s="36"/>
      <c r="Q152" s="36"/>
      <c r="R152" s="35"/>
      <c r="S152" s="35"/>
      <c r="T152" s="35"/>
      <c r="U152" s="35"/>
      <c r="V152" s="35"/>
      <c r="W152" s="35"/>
      <c r="X152" s="35"/>
      <c r="Y152" s="35"/>
      <c r="Z152" s="35"/>
      <c r="AA152" s="36"/>
    </row>
    <row r="153" spans="2:32" hidden="1" x14ac:dyDescent="0.2">
      <c r="B153" s="75" t="s">
        <v>61</v>
      </c>
      <c r="C153" s="6"/>
      <c r="D153" s="267"/>
      <c r="E153" s="268"/>
      <c r="F153" s="267"/>
      <c r="G153" s="276"/>
      <c r="H153" s="276"/>
      <c r="I153" s="276"/>
      <c r="J153" s="276"/>
      <c r="K153" s="276"/>
      <c r="L153" s="276"/>
      <c r="M153" s="276"/>
      <c r="N153" s="276"/>
      <c r="O153" s="268"/>
      <c r="P153" s="36"/>
      <c r="Q153" s="36"/>
      <c r="R153" s="35"/>
      <c r="S153" s="35"/>
      <c r="T153" s="35"/>
      <c r="U153" s="35"/>
      <c r="V153" s="35"/>
      <c r="W153" s="35"/>
      <c r="X153" s="35"/>
      <c r="Y153" s="35"/>
      <c r="Z153" s="35"/>
      <c r="AA153" s="36"/>
    </row>
    <row r="154" spans="2:32" hidden="1" x14ac:dyDescent="0.2">
      <c r="B154" s="78" t="s">
        <v>74</v>
      </c>
      <c r="C154" s="7"/>
      <c r="D154" s="364" t="s">
        <v>254</v>
      </c>
      <c r="E154" s="366"/>
      <c r="F154" s="364"/>
      <c r="G154" s="365"/>
      <c r="H154" s="365"/>
      <c r="I154" s="365"/>
      <c r="J154" s="365"/>
      <c r="K154" s="365"/>
      <c r="L154" s="365"/>
      <c r="M154" s="365"/>
      <c r="N154" s="365"/>
      <c r="O154" s="366"/>
      <c r="P154" s="36"/>
      <c r="Q154" s="36"/>
      <c r="R154" s="35"/>
      <c r="S154" s="35"/>
      <c r="T154" s="35"/>
      <c r="U154" s="35"/>
      <c r="V154" s="35"/>
      <c r="W154" s="35"/>
      <c r="X154" s="35"/>
      <c r="Y154" s="35"/>
      <c r="Z154" s="35"/>
      <c r="AA154" s="36"/>
    </row>
    <row r="155" spans="2:32" hidden="1" x14ac:dyDescent="0.2">
      <c r="B155" s="2"/>
      <c r="C155" s="3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36"/>
      <c r="Q155" s="36"/>
      <c r="R155" s="35"/>
      <c r="S155" s="35"/>
      <c r="T155" s="35"/>
      <c r="U155" s="35"/>
      <c r="V155" s="35"/>
      <c r="W155" s="35"/>
      <c r="X155" s="35"/>
      <c r="Y155" s="35"/>
      <c r="Z155" s="35"/>
      <c r="AA155" s="36"/>
    </row>
    <row r="156" spans="2:32" hidden="1" x14ac:dyDescent="0.2">
      <c r="B156" s="135" t="s">
        <v>179</v>
      </c>
      <c r="C156" s="136"/>
      <c r="D156" s="137"/>
      <c r="E156" s="138"/>
      <c r="F156" s="137"/>
      <c r="G156" s="138"/>
      <c r="H156" s="137"/>
      <c r="I156" s="138"/>
      <c r="J156" s="137"/>
      <c r="K156" s="138"/>
      <c r="L156" s="137"/>
      <c r="M156" s="138"/>
      <c r="N156" s="137"/>
      <c r="O156" s="138"/>
      <c r="P156" s="138"/>
      <c r="Q156" s="138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8"/>
      <c r="AB156" s="139"/>
      <c r="AC156" s="139"/>
      <c r="AD156" s="139"/>
    </row>
    <row r="157" spans="2:32" ht="12.75" hidden="1" customHeight="1" x14ac:dyDescent="0.2">
      <c r="B157" s="381" t="s">
        <v>83</v>
      </c>
      <c r="C157" s="381" t="s">
        <v>178</v>
      </c>
      <c r="D157" s="359"/>
      <c r="E157" s="360"/>
      <c r="F157" s="360"/>
      <c r="G157" s="359"/>
      <c r="H157" s="360"/>
      <c r="I157" s="360"/>
      <c r="J157" s="359"/>
      <c r="K157" s="360"/>
      <c r="L157" s="360"/>
      <c r="M157" s="359"/>
      <c r="N157" s="360"/>
      <c r="O157" s="360"/>
      <c r="P157" s="359"/>
      <c r="Q157" s="360"/>
      <c r="R157" s="360"/>
      <c r="S157" s="359"/>
      <c r="T157" s="360"/>
      <c r="U157" s="360"/>
      <c r="V157" s="359"/>
      <c r="W157" s="360"/>
      <c r="X157" s="360"/>
      <c r="Y157" s="359"/>
      <c r="Z157" s="360"/>
      <c r="AA157" s="360"/>
      <c r="AB157" s="359"/>
      <c r="AC157" s="360"/>
      <c r="AD157" s="360"/>
      <c r="AE157"/>
      <c r="AF157"/>
    </row>
    <row r="158" spans="2:32" ht="12.75" hidden="1" x14ac:dyDescent="0.2">
      <c r="B158" s="382"/>
      <c r="C158" s="382"/>
      <c r="D158" s="140" t="s">
        <v>67</v>
      </c>
      <c r="E158" s="140" t="s">
        <v>68</v>
      </c>
      <c r="F158" s="140" t="s">
        <v>69</v>
      </c>
      <c r="G158" s="140" t="s">
        <v>67</v>
      </c>
      <c r="H158" s="140" t="s">
        <v>68</v>
      </c>
      <c r="I158" s="140" t="s">
        <v>69</v>
      </c>
      <c r="J158" s="140" t="s">
        <v>67</v>
      </c>
      <c r="K158" s="140" t="s">
        <v>68</v>
      </c>
      <c r="L158" s="140" t="s">
        <v>69</v>
      </c>
      <c r="M158" s="140" t="s">
        <v>67</v>
      </c>
      <c r="N158" s="140" t="s">
        <v>68</v>
      </c>
      <c r="O158" s="140" t="s">
        <v>69</v>
      </c>
      <c r="P158" s="140" t="s">
        <v>67</v>
      </c>
      <c r="Q158" s="140" t="s">
        <v>68</v>
      </c>
      <c r="R158" s="140" t="s">
        <v>69</v>
      </c>
      <c r="S158" s="140" t="s">
        <v>67</v>
      </c>
      <c r="T158" s="140" t="s">
        <v>68</v>
      </c>
      <c r="U158" s="140" t="s">
        <v>69</v>
      </c>
      <c r="V158" s="140" t="s">
        <v>67</v>
      </c>
      <c r="W158" s="140" t="s">
        <v>68</v>
      </c>
      <c r="X158" s="140" t="s">
        <v>69</v>
      </c>
      <c r="Y158" s="140" t="s">
        <v>67</v>
      </c>
      <c r="Z158" s="140" t="s">
        <v>68</v>
      </c>
      <c r="AA158" s="140" t="s">
        <v>69</v>
      </c>
      <c r="AB158" s="140" t="s">
        <v>67</v>
      </c>
      <c r="AC158" s="140" t="s">
        <v>68</v>
      </c>
      <c r="AD158" s="140" t="s">
        <v>69</v>
      </c>
      <c r="AE158"/>
      <c r="AF158"/>
    </row>
    <row r="159" spans="2:32" ht="12.75" hidden="1" x14ac:dyDescent="0.2">
      <c r="B159" s="383"/>
      <c r="C159" s="383"/>
      <c r="D159" s="141" t="s">
        <v>255</v>
      </c>
      <c r="E159" s="141" t="s">
        <v>255</v>
      </c>
      <c r="F159" s="141" t="s">
        <v>255</v>
      </c>
      <c r="G159" s="141" t="s">
        <v>255</v>
      </c>
      <c r="H159" s="141" t="s">
        <v>255</v>
      </c>
      <c r="I159" s="141" t="s">
        <v>255</v>
      </c>
      <c r="J159" s="141" t="s">
        <v>255</v>
      </c>
      <c r="K159" s="141" t="s">
        <v>255</v>
      </c>
      <c r="L159" s="141" t="s">
        <v>255</v>
      </c>
      <c r="M159" s="141" t="s">
        <v>255</v>
      </c>
      <c r="N159" s="141" t="s">
        <v>255</v>
      </c>
      <c r="O159" s="141" t="s">
        <v>255</v>
      </c>
      <c r="P159" s="141" t="s">
        <v>255</v>
      </c>
      <c r="Q159" s="141" t="s">
        <v>255</v>
      </c>
      <c r="R159" s="141" t="s">
        <v>255</v>
      </c>
      <c r="S159" s="141" t="s">
        <v>255</v>
      </c>
      <c r="T159" s="141" t="s">
        <v>255</v>
      </c>
      <c r="U159" s="141" t="s">
        <v>255</v>
      </c>
      <c r="V159" s="141" t="s">
        <v>255</v>
      </c>
      <c r="W159" s="141" t="s">
        <v>255</v>
      </c>
      <c r="X159" s="141" t="s">
        <v>255</v>
      </c>
      <c r="Y159" s="141" t="s">
        <v>255</v>
      </c>
      <c r="Z159" s="141" t="s">
        <v>255</v>
      </c>
      <c r="AA159" s="141" t="s">
        <v>255</v>
      </c>
      <c r="AB159" s="141" t="s">
        <v>255</v>
      </c>
      <c r="AC159" s="141" t="s">
        <v>255</v>
      </c>
      <c r="AD159" s="141" t="s">
        <v>255</v>
      </c>
      <c r="AE159"/>
      <c r="AF159"/>
    </row>
    <row r="160" spans="2:32" ht="12.75" hidden="1" x14ac:dyDescent="0.2">
      <c r="B160" s="142" t="e">
        <f t="shared" ref="B160:B177" si="46">VLOOKUP(C160,$IL$4:$IM$43,2,FALSE)</f>
        <v>#N/A</v>
      </c>
      <c r="C160" s="143"/>
      <c r="D160" s="194"/>
      <c r="E160" s="194"/>
      <c r="F160" s="194"/>
      <c r="G160" s="194"/>
      <c r="H160" s="194"/>
      <c r="I160" s="194"/>
      <c r="J160" s="194"/>
      <c r="K160" s="19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  <c r="AB160" s="144"/>
      <c r="AC160" s="144"/>
      <c r="AD160" s="144"/>
      <c r="AE160"/>
      <c r="AF160"/>
    </row>
    <row r="161" spans="2:32" ht="12.75" hidden="1" x14ac:dyDescent="0.2">
      <c r="B161" s="143" t="e">
        <f t="shared" si="46"/>
        <v>#N/A</v>
      </c>
      <c r="C161" s="143"/>
      <c r="D161" s="194"/>
      <c r="E161" s="194"/>
      <c r="F161" s="194"/>
      <c r="G161" s="194"/>
      <c r="H161" s="194"/>
      <c r="I161" s="194"/>
      <c r="J161" s="194"/>
      <c r="K161" s="19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  <c r="AC161" s="144"/>
      <c r="AD161" s="144"/>
      <c r="AE161"/>
      <c r="AF161"/>
    </row>
    <row r="162" spans="2:32" ht="12.75" hidden="1" x14ac:dyDescent="0.2">
      <c r="B162" s="143" t="e">
        <f t="shared" si="46"/>
        <v>#N/A</v>
      </c>
      <c r="C162" s="143"/>
      <c r="D162" s="194"/>
      <c r="E162" s="194"/>
      <c r="F162" s="194"/>
      <c r="G162" s="194"/>
      <c r="H162" s="194"/>
      <c r="I162" s="194"/>
      <c r="J162" s="194"/>
      <c r="K162" s="19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  <c r="AB162" s="144"/>
      <c r="AC162" s="144"/>
      <c r="AD162" s="144"/>
      <c r="AE162"/>
      <c r="AF162"/>
    </row>
    <row r="163" spans="2:32" ht="12.75" hidden="1" x14ac:dyDescent="0.2">
      <c r="B163" s="143" t="e">
        <f t="shared" si="46"/>
        <v>#N/A</v>
      </c>
      <c r="C163" s="143"/>
      <c r="D163" s="194"/>
      <c r="E163" s="194"/>
      <c r="F163" s="194"/>
      <c r="G163" s="194"/>
      <c r="H163" s="194"/>
      <c r="I163" s="194"/>
      <c r="J163" s="194"/>
      <c r="K163" s="19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  <c r="AB163" s="144"/>
      <c r="AC163" s="144"/>
      <c r="AD163" s="144"/>
      <c r="AE163"/>
      <c r="AF163"/>
    </row>
    <row r="164" spans="2:32" ht="12.75" hidden="1" x14ac:dyDescent="0.2">
      <c r="B164" s="143" t="e">
        <f t="shared" si="46"/>
        <v>#N/A</v>
      </c>
      <c r="C164" s="143"/>
      <c r="D164" s="194"/>
      <c r="E164" s="194"/>
      <c r="F164" s="194"/>
      <c r="G164" s="194"/>
      <c r="H164" s="194"/>
      <c r="I164" s="194"/>
      <c r="J164" s="194"/>
      <c r="K164" s="19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  <c r="AB164" s="144"/>
      <c r="AC164" s="144"/>
      <c r="AD164" s="144"/>
      <c r="AE164"/>
      <c r="AF164"/>
    </row>
    <row r="165" spans="2:32" ht="12.75" hidden="1" x14ac:dyDescent="0.2">
      <c r="B165" s="143" t="e">
        <f t="shared" si="46"/>
        <v>#N/A</v>
      </c>
      <c r="C165" s="143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  <c r="AC165" s="144"/>
      <c r="AD165" s="144"/>
      <c r="AE165"/>
      <c r="AF165"/>
    </row>
    <row r="166" spans="2:32" ht="12.75" hidden="1" x14ac:dyDescent="0.2">
      <c r="B166" s="143" t="e">
        <f t="shared" si="46"/>
        <v>#N/A</v>
      </c>
      <c r="C166" s="143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  <c r="AC166" s="144"/>
      <c r="AD166" s="144"/>
      <c r="AE166"/>
      <c r="AF166"/>
    </row>
    <row r="167" spans="2:32" ht="12.75" hidden="1" x14ac:dyDescent="0.2">
      <c r="B167" s="143" t="e">
        <f t="shared" si="46"/>
        <v>#N/A</v>
      </c>
      <c r="C167" s="143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  <c r="AC167" s="144"/>
      <c r="AD167" s="144"/>
      <c r="AE167"/>
      <c r="AF167"/>
    </row>
    <row r="168" spans="2:32" ht="12.75" hidden="1" x14ac:dyDescent="0.2">
      <c r="B168" s="143" t="e">
        <f t="shared" si="46"/>
        <v>#N/A</v>
      </c>
      <c r="C168" s="143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  <c r="AC168" s="144"/>
      <c r="AD168" s="144"/>
      <c r="AE168"/>
      <c r="AF168"/>
    </row>
    <row r="169" spans="2:32" ht="12.75" hidden="1" x14ac:dyDescent="0.2">
      <c r="B169" s="143" t="e">
        <f t="shared" si="46"/>
        <v>#N/A</v>
      </c>
      <c r="C169" s="143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  <c r="AD169" s="144"/>
      <c r="AE169"/>
      <c r="AF169"/>
    </row>
    <row r="170" spans="2:32" ht="12.75" hidden="1" x14ac:dyDescent="0.2">
      <c r="B170" s="143" t="e">
        <f t="shared" si="46"/>
        <v>#N/A</v>
      </c>
      <c r="C170" s="143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  <c r="AC170" s="144"/>
      <c r="AD170" s="144"/>
      <c r="AE170"/>
      <c r="AF170"/>
    </row>
    <row r="171" spans="2:32" ht="12.75" hidden="1" x14ac:dyDescent="0.2">
      <c r="B171" s="143" t="e">
        <f t="shared" si="46"/>
        <v>#N/A</v>
      </c>
      <c r="C171" s="143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  <c r="AE171"/>
      <c r="AF171"/>
    </row>
    <row r="172" spans="2:32" ht="12.75" hidden="1" x14ac:dyDescent="0.2">
      <c r="B172" s="143" t="e">
        <f t="shared" si="46"/>
        <v>#N/A</v>
      </c>
      <c r="C172" s="143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  <c r="AC172" s="144"/>
      <c r="AD172" s="144"/>
      <c r="AE172"/>
      <c r="AF172"/>
    </row>
    <row r="173" spans="2:32" ht="12.75" hidden="1" x14ac:dyDescent="0.2">
      <c r="B173" s="143" t="e">
        <f t="shared" si="46"/>
        <v>#N/A</v>
      </c>
      <c r="C173" s="143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  <c r="AC173" s="144"/>
      <c r="AD173" s="144"/>
      <c r="AE173"/>
      <c r="AF173"/>
    </row>
    <row r="174" spans="2:32" ht="12.75" hidden="1" x14ac:dyDescent="0.2">
      <c r="B174" s="143" t="e">
        <f t="shared" si="46"/>
        <v>#N/A</v>
      </c>
      <c r="C174" s="143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  <c r="AC174" s="144"/>
      <c r="AD174" s="144"/>
      <c r="AE174"/>
      <c r="AF174"/>
    </row>
    <row r="175" spans="2:32" ht="12.75" hidden="1" x14ac:dyDescent="0.2">
      <c r="B175" s="143" t="e">
        <f t="shared" si="46"/>
        <v>#N/A</v>
      </c>
      <c r="C175" s="143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  <c r="AC175" s="144"/>
      <c r="AD175" s="144"/>
      <c r="AE175"/>
      <c r="AF175"/>
    </row>
    <row r="176" spans="2:32" ht="12.75" hidden="1" x14ac:dyDescent="0.2">
      <c r="B176" s="143" t="e">
        <f t="shared" si="46"/>
        <v>#N/A</v>
      </c>
      <c r="C176" s="143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  <c r="AC176" s="144"/>
      <c r="AD176" s="144"/>
      <c r="AE176"/>
      <c r="AF176"/>
    </row>
    <row r="177" spans="2:32" ht="12.75" hidden="1" x14ac:dyDescent="0.2">
      <c r="B177" s="145" t="e">
        <f t="shared" si="46"/>
        <v>#N/A</v>
      </c>
      <c r="C177" s="145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  <c r="AE177"/>
      <c r="AF177"/>
    </row>
    <row r="178" spans="2:32" hidden="1" x14ac:dyDescent="0.2">
      <c r="B178" s="2"/>
      <c r="C178" s="34"/>
      <c r="D178" s="35"/>
      <c r="E178" s="36"/>
      <c r="F178" s="35"/>
      <c r="G178" s="36"/>
      <c r="H178" s="35"/>
      <c r="I178" s="36"/>
      <c r="J178" s="35"/>
      <c r="K178" s="36"/>
      <c r="L178" s="35"/>
      <c r="M178" s="36"/>
      <c r="N178" s="35"/>
      <c r="O178" s="36"/>
      <c r="P178" s="36"/>
      <c r="Q178" s="36"/>
      <c r="R178" s="35"/>
      <c r="S178" s="35"/>
      <c r="T178" s="35"/>
      <c r="U178" s="35"/>
      <c r="V178" s="35"/>
      <c r="W178" s="35"/>
      <c r="X178" s="35"/>
      <c r="Y178" s="35"/>
      <c r="Z178" s="35"/>
      <c r="AA178" s="36"/>
    </row>
    <row r="179" spans="2:32" hidden="1" x14ac:dyDescent="0.2">
      <c r="B179" s="122" t="s">
        <v>214</v>
      </c>
      <c r="C179" s="34"/>
      <c r="D179" s="35"/>
      <c r="E179" s="36"/>
      <c r="F179" s="35"/>
      <c r="G179" s="36"/>
      <c r="H179" s="35"/>
      <c r="I179" s="36"/>
      <c r="J179" s="35"/>
      <c r="K179" s="36"/>
      <c r="L179" s="35"/>
      <c r="M179" s="36"/>
      <c r="N179" s="35"/>
      <c r="O179" s="36"/>
      <c r="P179" s="36"/>
      <c r="Q179" s="36"/>
      <c r="R179" s="35"/>
      <c r="S179" s="35"/>
      <c r="T179" s="35"/>
      <c r="U179" s="35"/>
      <c r="V179" s="35"/>
      <c r="W179" s="35"/>
      <c r="X179" s="35"/>
      <c r="Y179" s="35"/>
      <c r="Z179" s="35"/>
      <c r="AA179" s="36"/>
    </row>
    <row r="180" spans="2:32" ht="12" hidden="1" customHeight="1" x14ac:dyDescent="0.2">
      <c r="B180" s="284" t="s">
        <v>213</v>
      </c>
      <c r="C180" s="284" t="s">
        <v>1</v>
      </c>
      <c r="D180" s="290" t="s">
        <v>212</v>
      </c>
      <c r="E180" s="291"/>
      <c r="F180" s="294" t="s">
        <v>4</v>
      </c>
      <c r="G180" s="295"/>
      <c r="H180" s="289"/>
      <c r="I180" s="289"/>
      <c r="J180" s="289"/>
      <c r="K180" s="289"/>
      <c r="L180" s="289"/>
      <c r="M180" s="289"/>
      <c r="N180" s="35"/>
      <c r="O180" s="36"/>
      <c r="P180" s="36"/>
      <c r="Q180" s="36"/>
      <c r="R180" s="35"/>
      <c r="S180" s="35"/>
      <c r="T180" s="35"/>
      <c r="U180" s="35"/>
      <c r="V180" s="35"/>
      <c r="W180" s="35"/>
      <c r="X180" s="35"/>
      <c r="Y180" s="35"/>
      <c r="Z180" s="35"/>
      <c r="AA180" s="36"/>
    </row>
    <row r="181" spans="2:32" hidden="1" x14ac:dyDescent="0.2">
      <c r="B181" s="285"/>
      <c r="C181" s="285"/>
      <c r="D181" s="292"/>
      <c r="E181" s="293"/>
      <c r="F181" s="296"/>
      <c r="G181" s="297"/>
      <c r="H181" s="128"/>
      <c r="I181" s="128"/>
      <c r="J181" s="128"/>
      <c r="K181" s="128"/>
      <c r="L181" s="128"/>
      <c r="M181" s="128"/>
      <c r="N181" s="35"/>
      <c r="O181" s="36"/>
      <c r="P181" s="36"/>
      <c r="Q181" s="36"/>
      <c r="R181" s="35"/>
      <c r="S181" s="35"/>
      <c r="T181" s="35"/>
      <c r="U181" s="35"/>
      <c r="V181" s="35"/>
      <c r="W181" s="35"/>
      <c r="X181" s="35"/>
      <c r="Y181" s="35"/>
      <c r="Z181" s="35"/>
      <c r="AA181" s="36"/>
    </row>
    <row r="182" spans="2:32" hidden="1" x14ac:dyDescent="0.2">
      <c r="B182" s="129" t="s">
        <v>205</v>
      </c>
      <c r="C182" s="132"/>
      <c r="D182" s="392"/>
      <c r="E182" s="392"/>
      <c r="F182" s="393"/>
      <c r="G182" s="394"/>
      <c r="H182" s="128"/>
      <c r="I182" s="128"/>
      <c r="J182" s="128"/>
      <c r="K182" s="128"/>
      <c r="L182" s="128"/>
      <c r="M182" s="128"/>
      <c r="N182" s="35"/>
      <c r="O182" s="36"/>
      <c r="P182" s="36"/>
      <c r="Q182" s="36"/>
      <c r="R182" s="35"/>
      <c r="S182" s="35"/>
      <c r="T182" s="35"/>
      <c r="U182" s="35"/>
      <c r="V182" s="35"/>
      <c r="W182" s="35"/>
      <c r="X182" s="35"/>
      <c r="Y182" s="35"/>
      <c r="Z182" s="35"/>
      <c r="AA182" s="36"/>
    </row>
    <row r="183" spans="2:32" hidden="1" x14ac:dyDescent="0.2">
      <c r="B183" s="130" t="s">
        <v>206</v>
      </c>
      <c r="C183" s="133"/>
      <c r="D183" s="272"/>
      <c r="E183" s="272"/>
      <c r="F183" s="390"/>
      <c r="G183" s="391"/>
      <c r="H183" s="128"/>
      <c r="I183" s="128"/>
      <c r="J183" s="128"/>
      <c r="K183" s="128"/>
      <c r="L183" s="128"/>
      <c r="M183" s="128"/>
      <c r="N183" s="35"/>
      <c r="O183" s="36"/>
      <c r="P183" s="36"/>
      <c r="Q183" s="36"/>
      <c r="R183" s="35"/>
      <c r="S183" s="35"/>
      <c r="T183" s="35"/>
      <c r="U183" s="35"/>
      <c r="V183" s="35"/>
      <c r="W183" s="35"/>
      <c r="X183" s="35"/>
      <c r="Y183" s="35"/>
      <c r="Z183" s="35"/>
      <c r="AA183" s="36"/>
    </row>
    <row r="184" spans="2:32" hidden="1" x14ac:dyDescent="0.2">
      <c r="B184" s="130" t="s">
        <v>280</v>
      </c>
      <c r="C184" s="133"/>
      <c r="D184" s="272"/>
      <c r="E184" s="272"/>
      <c r="F184" s="390"/>
      <c r="G184" s="391"/>
      <c r="H184" s="128"/>
      <c r="I184" s="128"/>
      <c r="J184" s="128"/>
      <c r="K184" s="128"/>
      <c r="L184" s="128"/>
      <c r="M184" s="128"/>
      <c r="N184" s="35"/>
      <c r="O184" s="36"/>
      <c r="P184" s="36"/>
      <c r="Q184" s="36"/>
      <c r="R184" s="35"/>
      <c r="S184" s="35"/>
      <c r="T184" s="35"/>
      <c r="U184" s="35"/>
      <c r="V184" s="35"/>
      <c r="W184" s="35"/>
      <c r="X184" s="35"/>
      <c r="Y184" s="35"/>
      <c r="Z184" s="35"/>
      <c r="AA184" s="36"/>
    </row>
    <row r="185" spans="2:32" hidden="1" x14ac:dyDescent="0.2">
      <c r="B185" s="130" t="s">
        <v>368</v>
      </c>
      <c r="C185" s="133"/>
      <c r="D185" s="272"/>
      <c r="E185" s="272"/>
      <c r="F185" s="390"/>
      <c r="G185" s="391"/>
      <c r="H185" s="128"/>
      <c r="I185" s="128"/>
      <c r="J185" s="128"/>
      <c r="K185" s="128"/>
      <c r="L185" s="128"/>
      <c r="M185" s="128"/>
      <c r="N185" s="35"/>
      <c r="O185" s="36"/>
      <c r="P185" s="36"/>
      <c r="Q185" s="36"/>
      <c r="R185" s="35"/>
      <c r="S185" s="35"/>
      <c r="T185" s="35"/>
      <c r="U185" s="35"/>
      <c r="V185" s="35"/>
      <c r="W185" s="35"/>
      <c r="X185" s="35"/>
      <c r="Y185" s="35"/>
      <c r="Z185" s="35"/>
      <c r="AA185" s="36"/>
    </row>
    <row r="186" spans="2:32" hidden="1" x14ac:dyDescent="0.2">
      <c r="B186" s="130" t="s">
        <v>208</v>
      </c>
      <c r="C186" s="133"/>
      <c r="D186" s="272"/>
      <c r="E186" s="272"/>
      <c r="F186" s="390"/>
      <c r="G186" s="391"/>
      <c r="H186" s="127"/>
      <c r="I186" s="127"/>
      <c r="J186" s="127"/>
      <c r="K186" s="127"/>
      <c r="L186" s="127"/>
      <c r="M186" s="127"/>
      <c r="N186" s="35"/>
      <c r="O186" s="36"/>
      <c r="P186" s="36"/>
      <c r="Q186" s="36"/>
      <c r="R186" s="35"/>
      <c r="S186" s="35"/>
      <c r="T186" s="35"/>
      <c r="U186" s="35"/>
      <c r="V186" s="35"/>
      <c r="W186" s="35"/>
      <c r="X186" s="35"/>
      <c r="Y186" s="35"/>
      <c r="Z186" s="35"/>
      <c r="AA186" s="36"/>
    </row>
    <row r="187" spans="2:32" hidden="1" x14ac:dyDescent="0.2">
      <c r="B187" s="130" t="s">
        <v>202</v>
      </c>
      <c r="C187" s="133"/>
      <c r="D187" s="272"/>
      <c r="E187" s="272"/>
      <c r="F187" s="390"/>
      <c r="G187" s="391"/>
      <c r="H187" s="127"/>
      <c r="I187" s="127"/>
      <c r="J187" s="127"/>
      <c r="K187" s="195"/>
      <c r="L187" s="127"/>
      <c r="M187" s="127"/>
      <c r="N187" s="35"/>
      <c r="O187" s="36"/>
      <c r="P187" s="36"/>
      <c r="Q187" s="36"/>
      <c r="R187" s="35"/>
      <c r="S187" s="35"/>
      <c r="T187" s="35"/>
      <c r="U187" s="35"/>
      <c r="V187" s="35"/>
      <c r="W187" s="35"/>
      <c r="X187" s="35"/>
      <c r="Y187" s="35"/>
      <c r="Z187" s="35"/>
      <c r="AA187" s="36"/>
    </row>
    <row r="188" spans="2:32" hidden="1" x14ac:dyDescent="0.2">
      <c r="B188" s="130" t="s">
        <v>354</v>
      </c>
      <c r="C188" s="133"/>
      <c r="D188" s="272"/>
      <c r="E188" s="272"/>
      <c r="F188" s="390"/>
      <c r="G188" s="391"/>
      <c r="H188" s="127"/>
      <c r="I188" s="127"/>
      <c r="J188" s="127"/>
      <c r="K188" s="127"/>
      <c r="L188" s="127"/>
      <c r="M188" s="127"/>
      <c r="N188" s="35"/>
      <c r="O188" s="36"/>
      <c r="P188" s="36"/>
      <c r="Q188" s="36"/>
      <c r="R188" s="35"/>
      <c r="S188" s="35"/>
      <c r="T188" s="35"/>
      <c r="U188" s="35"/>
      <c r="V188" s="35"/>
      <c r="W188" s="35"/>
      <c r="X188" s="35"/>
      <c r="Y188" s="35"/>
      <c r="Z188" s="35"/>
      <c r="AA188" s="36"/>
    </row>
    <row r="189" spans="2:32" hidden="1" x14ac:dyDescent="0.2">
      <c r="B189" s="130" t="s">
        <v>204</v>
      </c>
      <c r="C189" s="133"/>
      <c r="D189" s="272"/>
      <c r="E189" s="272"/>
      <c r="F189" s="390"/>
      <c r="G189" s="391"/>
      <c r="H189" s="127"/>
      <c r="I189" s="127"/>
      <c r="J189" s="127"/>
      <c r="K189" s="127"/>
      <c r="L189" s="127"/>
      <c r="M189" s="127"/>
      <c r="N189" s="35"/>
      <c r="O189" s="36"/>
      <c r="P189" s="36"/>
      <c r="Q189" s="36"/>
      <c r="R189" s="35"/>
      <c r="S189" s="35"/>
      <c r="T189" s="35"/>
      <c r="U189" s="35"/>
      <c r="V189" s="35"/>
      <c r="W189" s="35"/>
      <c r="X189" s="35"/>
      <c r="Y189" s="35"/>
      <c r="Z189" s="35"/>
      <c r="AA189" s="36"/>
    </row>
    <row r="190" spans="2:32" hidden="1" x14ac:dyDescent="0.2">
      <c r="B190" s="131"/>
      <c r="C190" s="134"/>
      <c r="D190" s="273"/>
      <c r="E190" s="273"/>
      <c r="F190" s="298"/>
      <c r="G190" s="299"/>
      <c r="H190" s="127"/>
      <c r="I190" s="127"/>
      <c r="J190" s="127"/>
      <c r="K190" s="127"/>
      <c r="L190" s="127"/>
      <c r="M190" s="127"/>
      <c r="N190" s="35"/>
      <c r="O190" s="36"/>
      <c r="P190" s="36"/>
      <c r="Q190" s="36"/>
      <c r="R190" s="35"/>
      <c r="S190" s="35"/>
      <c r="T190" s="35"/>
      <c r="U190" s="35"/>
      <c r="V190" s="35"/>
      <c r="W190" s="35"/>
      <c r="X190" s="35"/>
      <c r="Y190" s="35"/>
      <c r="Z190" s="35"/>
      <c r="AA190" s="36"/>
    </row>
    <row r="191" spans="2:32" hidden="1" x14ac:dyDescent="0.2">
      <c r="B191" s="2"/>
      <c r="C191" s="34"/>
      <c r="D191" s="35"/>
      <c r="E191" s="36"/>
      <c r="F191" s="35"/>
      <c r="G191" s="36"/>
      <c r="H191" s="35"/>
      <c r="I191" s="36"/>
      <c r="J191" s="35"/>
      <c r="K191" s="36"/>
      <c r="L191" s="35"/>
      <c r="M191" s="36"/>
      <c r="N191" s="35"/>
      <c r="O191" s="36"/>
      <c r="P191" s="36"/>
      <c r="Q191" s="36"/>
      <c r="R191" s="35"/>
      <c r="S191" s="35"/>
      <c r="T191" s="35"/>
      <c r="U191" s="35"/>
      <c r="V191" s="35"/>
      <c r="W191" s="35"/>
      <c r="X191" s="35"/>
      <c r="Y191" s="35"/>
      <c r="Z191" s="35"/>
      <c r="AA191" s="36"/>
    </row>
    <row r="192" spans="2:32" hidden="1" x14ac:dyDescent="0.2">
      <c r="B192" s="294" t="s">
        <v>81</v>
      </c>
      <c r="C192" s="295"/>
      <c r="D192" s="281"/>
      <c r="E192" s="282"/>
      <c r="F192" s="283"/>
      <c r="G192" s="281"/>
      <c r="H192" s="282"/>
      <c r="I192" s="283"/>
      <c r="J192" s="281"/>
      <c r="K192" s="282"/>
      <c r="L192" s="283"/>
      <c r="M192" s="281"/>
      <c r="N192" s="282"/>
      <c r="O192" s="283"/>
      <c r="P192" s="281"/>
      <c r="Q192" s="282"/>
      <c r="R192" s="283"/>
      <c r="S192" s="76"/>
      <c r="T192" s="76"/>
      <c r="U192" s="76"/>
      <c r="V192" s="76"/>
      <c r="W192" s="76"/>
      <c r="X192" s="76"/>
      <c r="Y192" s="76"/>
      <c r="Z192" s="76"/>
      <c r="AA192" s="281"/>
      <c r="AB192" s="282"/>
      <c r="AC192" s="283"/>
      <c r="AD192" s="281"/>
      <c r="AE192" s="282"/>
      <c r="AF192" s="283"/>
    </row>
    <row r="193" spans="2:32" hidden="1" x14ac:dyDescent="0.2">
      <c r="B193" s="296"/>
      <c r="C193" s="297"/>
      <c r="D193" s="46" t="s">
        <v>67</v>
      </c>
      <c r="E193" s="46" t="s">
        <v>68</v>
      </c>
      <c r="F193" s="46" t="s">
        <v>69</v>
      </c>
      <c r="G193" s="46" t="s">
        <v>67</v>
      </c>
      <c r="H193" s="46" t="s">
        <v>68</v>
      </c>
      <c r="I193" s="46" t="s">
        <v>69</v>
      </c>
      <c r="J193" s="46" t="s">
        <v>67</v>
      </c>
      <c r="K193" s="46" t="s">
        <v>68</v>
      </c>
      <c r="L193" s="46" t="s">
        <v>69</v>
      </c>
      <c r="M193" s="46" t="s">
        <v>67</v>
      </c>
      <c r="N193" s="46" t="s">
        <v>68</v>
      </c>
      <c r="O193" s="46" t="s">
        <v>69</v>
      </c>
      <c r="P193" s="46" t="s">
        <v>67</v>
      </c>
      <c r="Q193" s="46" t="s">
        <v>68</v>
      </c>
      <c r="R193" s="46" t="s">
        <v>69</v>
      </c>
      <c r="S193" s="46"/>
      <c r="T193" s="46"/>
      <c r="U193" s="46"/>
      <c r="V193" s="46"/>
      <c r="W193" s="46"/>
      <c r="X193" s="46"/>
      <c r="Y193" s="46"/>
      <c r="Z193" s="46"/>
      <c r="AA193" s="46" t="s">
        <v>67</v>
      </c>
      <c r="AB193" s="46" t="s">
        <v>68</v>
      </c>
      <c r="AC193" s="46" t="s">
        <v>69</v>
      </c>
      <c r="AD193" s="46" t="s">
        <v>67</v>
      </c>
      <c r="AE193" s="46" t="s">
        <v>68</v>
      </c>
      <c r="AF193" s="46" t="s">
        <v>69</v>
      </c>
    </row>
    <row r="194" spans="2:32" hidden="1" x14ac:dyDescent="0.2">
      <c r="B194" s="279"/>
      <c r="C194" s="280"/>
      <c r="D194" s="49"/>
      <c r="E194" s="48"/>
      <c r="F194" s="47"/>
      <c r="G194" s="48"/>
      <c r="H194" s="47"/>
      <c r="I194" s="48"/>
      <c r="J194" s="47"/>
      <c r="K194" s="48"/>
      <c r="L194" s="47"/>
      <c r="M194" s="48"/>
      <c r="N194" s="47"/>
      <c r="O194" s="49"/>
      <c r="P194" s="48"/>
      <c r="Q194" s="47"/>
      <c r="R194" s="49"/>
      <c r="S194" s="48"/>
      <c r="T194" s="48"/>
      <c r="U194" s="48"/>
      <c r="V194" s="48"/>
      <c r="W194" s="48"/>
      <c r="X194" s="48"/>
      <c r="Y194" s="48"/>
      <c r="Z194" s="48"/>
      <c r="AA194" s="48"/>
      <c r="AB194" s="47"/>
      <c r="AC194" s="49"/>
      <c r="AD194" s="48"/>
      <c r="AE194" s="47"/>
      <c r="AF194" s="49"/>
    </row>
    <row r="195" spans="2:32" hidden="1" x14ac:dyDescent="0.2">
      <c r="B195" s="371"/>
      <c r="C195" s="372"/>
      <c r="D195" s="52"/>
      <c r="E195" s="51"/>
      <c r="F195" s="50"/>
      <c r="G195" s="51"/>
      <c r="H195" s="50"/>
      <c r="I195" s="51"/>
      <c r="J195" s="50"/>
      <c r="K195" s="51"/>
      <c r="L195" s="50"/>
      <c r="M195" s="51"/>
      <c r="N195" s="50"/>
      <c r="O195" s="52"/>
      <c r="P195" s="51"/>
      <c r="Q195" s="50"/>
      <c r="R195" s="52"/>
      <c r="S195" s="51"/>
      <c r="T195" s="51"/>
      <c r="U195" s="51"/>
      <c r="V195" s="51"/>
      <c r="W195" s="51"/>
      <c r="X195" s="51"/>
      <c r="Y195" s="51"/>
      <c r="Z195" s="51"/>
      <c r="AA195" s="51"/>
      <c r="AB195" s="50"/>
      <c r="AC195" s="52"/>
      <c r="AD195" s="51"/>
      <c r="AE195" s="50"/>
      <c r="AF195" s="52"/>
    </row>
    <row r="196" spans="2:32" hidden="1" x14ac:dyDescent="0.2">
      <c r="B196" s="369"/>
      <c r="C196" s="370"/>
      <c r="D196" s="55"/>
      <c r="E196" s="54"/>
      <c r="F196" s="53"/>
      <c r="G196" s="54"/>
      <c r="H196" s="53"/>
      <c r="I196" s="54"/>
      <c r="J196" s="53"/>
      <c r="K196" s="54"/>
      <c r="L196" s="53"/>
      <c r="M196" s="54"/>
      <c r="N196" s="53"/>
      <c r="O196" s="55"/>
      <c r="P196" s="54"/>
      <c r="Q196" s="53"/>
      <c r="R196" s="55"/>
      <c r="S196" s="54"/>
      <c r="T196" s="54"/>
      <c r="U196" s="54"/>
      <c r="V196" s="54"/>
      <c r="W196" s="54"/>
      <c r="X196" s="54"/>
      <c r="Y196" s="54"/>
      <c r="Z196" s="54"/>
      <c r="AA196" s="54"/>
      <c r="AB196" s="53"/>
      <c r="AC196" s="55"/>
      <c r="AD196" s="54"/>
      <c r="AE196" s="53"/>
      <c r="AF196" s="55"/>
    </row>
    <row r="197" spans="2:32" hidden="1" x14ac:dyDescent="0.2">
      <c r="B197" s="2"/>
      <c r="C197" s="34"/>
      <c r="D197" s="35"/>
      <c r="E197" s="36"/>
      <c r="F197" s="35"/>
      <c r="G197" s="36"/>
      <c r="H197" s="35"/>
      <c r="I197" s="36"/>
      <c r="J197" s="35"/>
      <c r="K197" s="36"/>
      <c r="L197" s="35"/>
      <c r="M197" s="36"/>
      <c r="N197" s="35"/>
      <c r="O197" s="36"/>
      <c r="P197" s="36"/>
      <c r="Q197" s="36"/>
      <c r="R197" s="35"/>
      <c r="S197" s="35"/>
      <c r="T197" s="35"/>
      <c r="U197" s="35"/>
      <c r="V197" s="35"/>
      <c r="W197" s="35"/>
      <c r="X197" s="35"/>
      <c r="Y197" s="35"/>
      <c r="Z197" s="35"/>
      <c r="AA197" s="36"/>
    </row>
    <row r="198" spans="2:32" hidden="1" x14ac:dyDescent="0.2">
      <c r="B198" s="294" t="s">
        <v>104</v>
      </c>
      <c r="C198" s="295"/>
      <c r="D198" s="281" t="s">
        <v>105</v>
      </c>
      <c r="E198" s="282"/>
      <c r="F198" s="282"/>
      <c r="G198" s="282"/>
      <c r="H198" s="282"/>
      <c r="I198" s="282"/>
      <c r="J198" s="282"/>
      <c r="K198" s="282"/>
      <c r="L198" s="282"/>
      <c r="M198" s="282"/>
      <c r="N198" s="282"/>
      <c r="O198" s="282"/>
      <c r="P198" s="282"/>
      <c r="Q198" s="282"/>
      <c r="R198" s="282"/>
      <c r="S198" s="282"/>
      <c r="T198" s="282"/>
      <c r="U198" s="282"/>
      <c r="V198" s="282"/>
      <c r="W198" s="282"/>
      <c r="X198" s="282"/>
      <c r="Y198" s="282"/>
      <c r="Z198" s="282"/>
      <c r="AA198" s="282"/>
      <c r="AB198" s="282"/>
      <c r="AC198" s="282"/>
      <c r="AD198" s="282"/>
      <c r="AE198" s="282"/>
      <c r="AF198" s="283"/>
    </row>
    <row r="199" spans="2:32" ht="12.75" hidden="1" customHeight="1" x14ac:dyDescent="0.2">
      <c r="B199" s="296"/>
      <c r="C199" s="297"/>
      <c r="D199" s="46" t="s">
        <v>121</v>
      </c>
      <c r="E199" s="46" t="s">
        <v>102</v>
      </c>
      <c r="F199" s="46" t="s">
        <v>123</v>
      </c>
      <c r="G199" s="46" t="s">
        <v>84</v>
      </c>
      <c r="H199" s="46" t="s">
        <v>122</v>
      </c>
      <c r="I199" s="376" t="s">
        <v>103</v>
      </c>
      <c r="J199" s="376"/>
      <c r="K199" s="376"/>
      <c r="L199" s="376"/>
      <c r="M199" s="376"/>
      <c r="N199" s="376"/>
      <c r="O199" s="376"/>
      <c r="P199" s="376"/>
      <c r="Q199" s="376"/>
      <c r="R199" s="376"/>
      <c r="S199" s="376"/>
      <c r="T199" s="376"/>
      <c r="U199" s="376"/>
      <c r="V199" s="376"/>
      <c r="W199" s="376"/>
      <c r="X199" s="376"/>
      <c r="Y199" s="376"/>
      <c r="Z199" s="376"/>
      <c r="AA199" s="376"/>
      <c r="AB199" s="376"/>
      <c r="AC199" s="376"/>
      <c r="AD199" s="376"/>
      <c r="AE199" s="376"/>
      <c r="AF199" s="377"/>
    </row>
    <row r="200" spans="2:32" hidden="1" x14ac:dyDescent="0.2">
      <c r="B200" s="279"/>
      <c r="C200" s="280"/>
      <c r="D200" s="48"/>
      <c r="E200" s="56"/>
      <c r="F200" s="57"/>
      <c r="G200" s="58"/>
      <c r="H200" s="59"/>
      <c r="I200" s="378"/>
      <c r="J200" s="379"/>
      <c r="K200" s="379"/>
      <c r="L200" s="379"/>
      <c r="M200" s="379"/>
      <c r="N200" s="379"/>
      <c r="O200" s="379"/>
      <c r="P200" s="379"/>
      <c r="Q200" s="379"/>
      <c r="R200" s="379"/>
      <c r="S200" s="379"/>
      <c r="T200" s="379"/>
      <c r="U200" s="379"/>
      <c r="V200" s="379"/>
      <c r="W200" s="379"/>
      <c r="X200" s="379"/>
      <c r="Y200" s="379"/>
      <c r="Z200" s="379"/>
      <c r="AA200" s="379"/>
      <c r="AB200" s="379"/>
      <c r="AC200" s="379"/>
      <c r="AD200" s="379"/>
      <c r="AE200" s="379"/>
      <c r="AF200" s="380"/>
    </row>
    <row r="201" spans="2:32" hidden="1" x14ac:dyDescent="0.2">
      <c r="B201" s="371"/>
      <c r="C201" s="372"/>
      <c r="D201" s="51"/>
      <c r="E201" s="60"/>
      <c r="F201" s="61"/>
      <c r="G201" s="62"/>
      <c r="H201" s="63"/>
      <c r="I201" s="286"/>
      <c r="J201" s="287"/>
      <c r="K201" s="287"/>
      <c r="L201" s="287"/>
      <c r="M201" s="287"/>
      <c r="N201" s="287"/>
      <c r="O201" s="287"/>
      <c r="P201" s="287"/>
      <c r="Q201" s="287"/>
      <c r="R201" s="287"/>
      <c r="S201" s="287"/>
      <c r="T201" s="287"/>
      <c r="U201" s="287"/>
      <c r="V201" s="287"/>
      <c r="W201" s="287"/>
      <c r="X201" s="287"/>
      <c r="Y201" s="287"/>
      <c r="Z201" s="287"/>
      <c r="AA201" s="287"/>
      <c r="AB201" s="287"/>
      <c r="AC201" s="287"/>
      <c r="AD201" s="287"/>
      <c r="AE201" s="287"/>
      <c r="AF201" s="288"/>
    </row>
    <row r="202" spans="2:32" hidden="1" x14ac:dyDescent="0.2">
      <c r="B202" s="371"/>
      <c r="C202" s="372"/>
      <c r="D202" s="51"/>
      <c r="E202" s="60"/>
      <c r="F202" s="61"/>
      <c r="G202" s="64"/>
      <c r="H202" s="63"/>
      <c r="I202" s="286"/>
      <c r="J202" s="287"/>
      <c r="K202" s="287"/>
      <c r="L202" s="287"/>
      <c r="M202" s="287"/>
      <c r="N202" s="287"/>
      <c r="O202" s="287"/>
      <c r="P202" s="287"/>
      <c r="Q202" s="287"/>
      <c r="R202" s="287"/>
      <c r="S202" s="287"/>
      <c r="T202" s="287"/>
      <c r="U202" s="287"/>
      <c r="V202" s="287"/>
      <c r="W202" s="287"/>
      <c r="X202" s="287"/>
      <c r="Y202" s="287"/>
      <c r="Z202" s="287"/>
      <c r="AA202" s="287"/>
      <c r="AB202" s="287"/>
      <c r="AC202" s="287"/>
      <c r="AD202" s="287"/>
      <c r="AE202" s="287"/>
      <c r="AF202" s="288"/>
    </row>
    <row r="203" spans="2:32" hidden="1" x14ac:dyDescent="0.2">
      <c r="B203" s="371"/>
      <c r="C203" s="372"/>
      <c r="D203" s="51"/>
      <c r="E203" s="60"/>
      <c r="F203" s="61"/>
      <c r="G203" s="64"/>
      <c r="H203" s="63"/>
      <c r="I203" s="384"/>
      <c r="J203" s="385"/>
      <c r="K203" s="385"/>
      <c r="L203" s="385"/>
      <c r="M203" s="385"/>
      <c r="N203" s="385"/>
      <c r="O203" s="385"/>
      <c r="P203" s="385"/>
      <c r="Q203" s="385"/>
      <c r="R203" s="385"/>
      <c r="S203" s="385"/>
      <c r="T203" s="385"/>
      <c r="U203" s="385"/>
      <c r="V203" s="385"/>
      <c r="W203" s="385"/>
      <c r="X203" s="385"/>
      <c r="Y203" s="385"/>
      <c r="Z203" s="385"/>
      <c r="AA203" s="385"/>
      <c r="AB203" s="385"/>
      <c r="AC203" s="385"/>
      <c r="AD203" s="385"/>
      <c r="AE203" s="385"/>
      <c r="AF203" s="386"/>
    </row>
    <row r="204" spans="2:32" hidden="1" x14ac:dyDescent="0.2">
      <c r="B204" s="369"/>
      <c r="C204" s="370"/>
      <c r="D204" s="54"/>
      <c r="E204" s="65"/>
      <c r="F204" s="66"/>
      <c r="G204" s="67"/>
      <c r="H204" s="68"/>
      <c r="I204" s="373"/>
      <c r="J204" s="374"/>
      <c r="K204" s="374"/>
      <c r="L204" s="374"/>
      <c r="M204" s="374"/>
      <c r="N204" s="374"/>
      <c r="O204" s="374"/>
      <c r="P204" s="374"/>
      <c r="Q204" s="374"/>
      <c r="R204" s="374"/>
      <c r="S204" s="374"/>
      <c r="T204" s="374"/>
      <c r="U204" s="374"/>
      <c r="V204" s="374"/>
      <c r="W204" s="374"/>
      <c r="X204" s="374"/>
      <c r="Y204" s="374"/>
      <c r="Z204" s="374"/>
      <c r="AA204" s="374"/>
      <c r="AB204" s="374"/>
      <c r="AC204" s="374"/>
      <c r="AD204" s="374"/>
      <c r="AE204" s="374"/>
      <c r="AF204" s="375"/>
    </row>
    <row r="205" spans="2:32" x14ac:dyDescent="0.2">
      <c r="B205" s="2"/>
      <c r="C205" s="34"/>
      <c r="D205" s="35"/>
      <c r="E205" s="36"/>
      <c r="F205" s="35"/>
      <c r="G205" s="36"/>
      <c r="H205" s="35"/>
      <c r="I205" s="36"/>
      <c r="J205" s="35"/>
      <c r="K205" s="36"/>
      <c r="L205" s="35"/>
      <c r="M205" s="36"/>
      <c r="N205" s="35"/>
      <c r="O205" s="36"/>
      <c r="P205" s="36"/>
      <c r="Q205" s="36"/>
      <c r="R205" s="35"/>
      <c r="S205" s="35"/>
      <c r="T205" s="35"/>
      <c r="U205" s="35"/>
      <c r="V205" s="35"/>
      <c r="W205" s="35"/>
      <c r="X205" s="35"/>
      <c r="Y205" s="35"/>
      <c r="Z205" s="35"/>
      <c r="AA205" s="36"/>
    </row>
    <row r="206" spans="2:32" x14ac:dyDescent="0.2">
      <c r="B206" s="2" t="s">
        <v>35</v>
      </c>
      <c r="C206" s="34"/>
      <c r="D206" s="35"/>
      <c r="E206" s="36"/>
      <c r="F206" s="35"/>
      <c r="G206" s="36"/>
      <c r="H206" s="35"/>
      <c r="I206" s="36"/>
      <c r="J206" s="35"/>
      <c r="K206" s="36"/>
      <c r="L206" s="35"/>
      <c r="M206" s="36"/>
      <c r="N206" s="35"/>
      <c r="O206" s="36"/>
      <c r="P206" s="36"/>
      <c r="Q206" s="36"/>
      <c r="R206" s="35"/>
      <c r="S206" s="35"/>
      <c r="T206" s="35"/>
      <c r="U206" s="35"/>
      <c r="V206" s="35"/>
      <c r="W206" s="35"/>
      <c r="X206" s="35"/>
      <c r="Y206" s="35"/>
      <c r="Z206" s="35"/>
      <c r="AA206" s="36"/>
    </row>
    <row r="207" spans="2:32" x14ac:dyDescent="0.2">
      <c r="B207" s="235"/>
      <c r="C207" s="236"/>
      <c r="D207" s="237"/>
      <c r="E207" s="238"/>
      <c r="F207" s="237"/>
      <c r="G207" s="238"/>
      <c r="H207" s="237"/>
      <c r="I207" s="238"/>
      <c r="J207" s="237"/>
      <c r="K207" s="238"/>
      <c r="L207" s="237"/>
      <c r="M207" s="238"/>
      <c r="N207" s="237"/>
      <c r="O207" s="238"/>
      <c r="P207" s="238"/>
      <c r="Q207" s="238"/>
      <c r="R207" s="237"/>
      <c r="S207" s="237"/>
      <c r="T207" s="237"/>
      <c r="U207" s="237"/>
      <c r="V207" s="237"/>
      <c r="W207" s="237"/>
      <c r="X207" s="237"/>
      <c r="Y207" s="237"/>
      <c r="Z207" s="237"/>
      <c r="AA207" s="239"/>
    </row>
    <row r="208" spans="2:32" ht="18.75" x14ac:dyDescent="0.3">
      <c r="B208" s="269"/>
      <c r="C208" s="270"/>
      <c r="D208" s="270"/>
      <c r="E208" s="270"/>
      <c r="F208" s="270"/>
      <c r="G208" s="270"/>
      <c r="H208" s="270"/>
      <c r="I208" s="270"/>
      <c r="J208" s="270"/>
      <c r="K208" s="270"/>
      <c r="L208" s="270"/>
      <c r="M208" s="270"/>
      <c r="N208" s="270"/>
      <c r="O208" s="271"/>
      <c r="P208" s="241"/>
      <c r="Q208" s="241"/>
      <c r="R208" s="242"/>
      <c r="S208" s="242"/>
      <c r="T208" s="242"/>
      <c r="U208" s="242"/>
      <c r="V208" s="242"/>
      <c r="W208" s="242"/>
      <c r="X208" s="242"/>
      <c r="Y208" s="242"/>
      <c r="Z208" s="242"/>
      <c r="AA208" s="243"/>
    </row>
    <row r="209" spans="2:27" x14ac:dyDescent="0.2">
      <c r="B209" s="244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1"/>
      <c r="N209" s="242"/>
      <c r="O209" s="241"/>
      <c r="P209" s="241"/>
      <c r="Q209" s="241"/>
      <c r="R209" s="242"/>
      <c r="S209" s="242"/>
      <c r="T209" s="242"/>
      <c r="U209" s="242"/>
      <c r="V209" s="242"/>
      <c r="W209" s="242"/>
      <c r="X209" s="242"/>
      <c r="Y209" s="242"/>
      <c r="Z209" s="242"/>
      <c r="AA209" s="243"/>
    </row>
    <row r="210" spans="2:27" x14ac:dyDescent="0.2">
      <c r="B210" s="245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1"/>
      <c r="N210" s="242"/>
      <c r="O210" s="241"/>
      <c r="P210" s="241"/>
      <c r="Q210" s="241"/>
      <c r="R210" s="242"/>
      <c r="S210" s="242"/>
      <c r="T210" s="242"/>
      <c r="U210" s="242"/>
      <c r="V210" s="242"/>
      <c r="W210" s="242"/>
      <c r="X210" s="242"/>
      <c r="Y210" s="242"/>
      <c r="Z210" s="242"/>
      <c r="AA210" s="243"/>
    </row>
    <row r="211" spans="2:27" x14ac:dyDescent="0.2">
      <c r="B211" s="244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1"/>
      <c r="N211" s="242"/>
      <c r="O211" s="241"/>
      <c r="P211" s="241"/>
      <c r="Q211" s="241"/>
      <c r="R211" s="242"/>
      <c r="S211" s="242"/>
      <c r="T211" s="242"/>
      <c r="U211" s="242"/>
      <c r="V211" s="242"/>
      <c r="W211" s="242"/>
      <c r="X211" s="242"/>
      <c r="Y211" s="242"/>
      <c r="Z211" s="242"/>
      <c r="AA211" s="243"/>
    </row>
    <row r="212" spans="2:27" x14ac:dyDescent="0.2">
      <c r="B212" s="352"/>
      <c r="C212" s="353"/>
      <c r="D212" s="353"/>
      <c r="E212" s="353"/>
      <c r="F212" s="353"/>
      <c r="G212" s="353"/>
      <c r="H212" s="353"/>
      <c r="I212" s="353"/>
      <c r="J212" s="353"/>
      <c r="K212" s="353"/>
      <c r="L212" s="353"/>
      <c r="M212" s="241"/>
      <c r="N212" s="242"/>
      <c r="O212" s="241"/>
      <c r="P212" s="241"/>
      <c r="Q212" s="241"/>
      <c r="R212" s="242"/>
      <c r="S212" s="242"/>
      <c r="T212" s="242"/>
      <c r="U212" s="242"/>
      <c r="V212" s="242"/>
      <c r="W212" s="242"/>
      <c r="X212" s="242"/>
      <c r="Y212" s="242"/>
      <c r="Z212" s="242"/>
      <c r="AA212" s="243"/>
    </row>
    <row r="213" spans="2:27" ht="12.75" customHeight="1" x14ac:dyDescent="0.2">
      <c r="B213" s="357"/>
      <c r="C213" s="358"/>
      <c r="D213" s="358"/>
      <c r="E213" s="358"/>
      <c r="F213" s="358"/>
      <c r="G213" s="358"/>
      <c r="H213" s="358"/>
      <c r="I213" s="358"/>
      <c r="J213" s="358"/>
      <c r="K213" s="358"/>
      <c r="L213" s="358"/>
      <c r="M213" s="241"/>
      <c r="N213" s="242"/>
      <c r="O213" s="241"/>
      <c r="P213" s="241"/>
      <c r="Q213" s="241"/>
      <c r="R213" s="242"/>
      <c r="S213" s="242"/>
      <c r="T213" s="242"/>
      <c r="U213" s="242"/>
      <c r="V213" s="242"/>
      <c r="W213" s="242"/>
      <c r="X213" s="242"/>
      <c r="Y213" s="242"/>
      <c r="Z213" s="242"/>
      <c r="AA213" s="243"/>
    </row>
    <row r="214" spans="2:27" x14ac:dyDescent="0.2">
      <c r="B214" s="355"/>
      <c r="C214" s="356"/>
      <c r="D214" s="356"/>
      <c r="E214" s="356"/>
      <c r="F214" s="356"/>
      <c r="G214" s="356"/>
      <c r="H214" s="356"/>
      <c r="I214" s="356"/>
      <c r="J214" s="356"/>
      <c r="K214" s="241"/>
      <c r="L214" s="242"/>
      <c r="M214" s="241"/>
      <c r="N214" s="242"/>
      <c r="O214" s="241"/>
      <c r="P214" s="241"/>
      <c r="Q214" s="241"/>
      <c r="R214" s="242"/>
      <c r="S214" s="242"/>
      <c r="T214" s="242"/>
      <c r="U214" s="242"/>
      <c r="V214" s="242"/>
      <c r="W214" s="242"/>
      <c r="X214" s="242"/>
      <c r="Y214" s="242"/>
      <c r="Z214" s="242"/>
      <c r="AA214" s="243"/>
    </row>
    <row r="215" spans="2:27" x14ac:dyDescent="0.2">
      <c r="B215" s="246"/>
      <c r="C215" s="247"/>
      <c r="D215" s="248"/>
      <c r="E215" s="249"/>
      <c r="F215" s="248"/>
      <c r="G215" s="249"/>
      <c r="H215" s="248"/>
      <c r="I215" s="249"/>
      <c r="J215" s="248"/>
      <c r="K215" s="249"/>
      <c r="L215" s="248"/>
      <c r="M215" s="249"/>
      <c r="N215" s="248"/>
      <c r="O215" s="249"/>
      <c r="P215" s="249"/>
      <c r="Q215" s="249"/>
      <c r="R215" s="248"/>
      <c r="S215" s="248"/>
      <c r="T215" s="248"/>
      <c r="U215" s="248"/>
      <c r="V215" s="248"/>
      <c r="W215" s="248"/>
      <c r="X215" s="248"/>
      <c r="Y215" s="248"/>
      <c r="Z215" s="248"/>
      <c r="AA215" s="250"/>
    </row>
    <row r="216" spans="2:27" x14ac:dyDescent="0.2">
      <c r="B216" s="34"/>
      <c r="C216" s="34"/>
      <c r="D216" s="35"/>
      <c r="E216" s="36"/>
      <c r="F216" s="35"/>
      <c r="G216" s="36"/>
      <c r="H216" s="35"/>
      <c r="I216" s="36"/>
      <c r="J216" s="35"/>
      <c r="K216" s="36"/>
      <c r="L216" s="35"/>
      <c r="M216" s="36"/>
      <c r="N216" s="35"/>
      <c r="O216" s="36"/>
      <c r="P216" s="36"/>
      <c r="Q216" s="36"/>
      <c r="R216" s="35"/>
      <c r="S216" s="35"/>
      <c r="T216" s="35"/>
      <c r="U216" s="35"/>
      <c r="V216" s="35"/>
      <c r="W216" s="35"/>
      <c r="X216" s="35"/>
      <c r="Y216" s="35"/>
      <c r="Z216" s="35"/>
      <c r="AA216" s="36"/>
    </row>
    <row r="217" spans="2:27" x14ac:dyDescent="0.2">
      <c r="B217" s="34"/>
      <c r="C217" s="34"/>
      <c r="D217" s="35"/>
      <c r="E217" s="36"/>
      <c r="F217" s="35"/>
      <c r="G217" s="36"/>
      <c r="H217" s="35"/>
      <c r="I217" s="36"/>
      <c r="J217" s="35"/>
      <c r="K217" s="36"/>
      <c r="L217" s="35"/>
      <c r="M217" s="36"/>
      <c r="N217" s="35"/>
      <c r="O217" s="36"/>
      <c r="P217" s="36"/>
      <c r="Q217" s="36"/>
      <c r="R217" s="35"/>
      <c r="S217" s="35"/>
      <c r="T217" s="35"/>
      <c r="U217" s="35"/>
      <c r="V217" s="35"/>
      <c r="W217" s="35"/>
      <c r="X217" s="35"/>
      <c r="Y217" s="35"/>
      <c r="Z217" s="35"/>
      <c r="AA217" s="36"/>
    </row>
    <row r="218" spans="2:27" x14ac:dyDescent="0.2">
      <c r="B218" s="34"/>
      <c r="C218" s="34"/>
      <c r="D218" s="35"/>
      <c r="E218" s="36"/>
      <c r="F218" s="35"/>
      <c r="G218" s="36"/>
      <c r="H218" s="35"/>
      <c r="I218" s="36"/>
      <c r="J218" s="35"/>
      <c r="K218" s="36"/>
      <c r="L218" s="35"/>
      <c r="M218" s="36"/>
      <c r="N218" s="35"/>
      <c r="O218" s="36"/>
      <c r="P218" s="36"/>
      <c r="Q218" s="36"/>
      <c r="R218" s="35"/>
      <c r="S218" s="35"/>
      <c r="T218" s="35"/>
      <c r="U218" s="35"/>
      <c r="V218" s="35"/>
      <c r="W218" s="35"/>
      <c r="X218" s="35"/>
      <c r="Y218" s="35"/>
      <c r="Z218" s="35"/>
      <c r="AA218" s="36"/>
    </row>
    <row r="219" spans="2:27" x14ac:dyDescent="0.2">
      <c r="B219" s="34"/>
      <c r="C219" s="34"/>
      <c r="D219" s="35"/>
      <c r="E219" s="36"/>
      <c r="F219" s="35"/>
      <c r="G219" s="36"/>
      <c r="H219" s="35"/>
      <c r="I219" s="36"/>
      <c r="J219" s="35"/>
      <c r="K219" s="36"/>
      <c r="L219" s="35"/>
      <c r="M219" s="36"/>
      <c r="N219" s="35"/>
      <c r="O219" s="36"/>
      <c r="P219" s="36"/>
      <c r="Q219" s="36"/>
      <c r="R219" s="35"/>
      <c r="S219" s="35"/>
      <c r="T219" s="35"/>
      <c r="U219" s="35"/>
      <c r="V219" s="35"/>
      <c r="W219" s="35"/>
      <c r="X219" s="35"/>
      <c r="Y219" s="35"/>
      <c r="Z219" s="35"/>
      <c r="AA219" s="36"/>
    </row>
    <row r="220" spans="2:27" x14ac:dyDescent="0.2">
      <c r="B220" s="34"/>
      <c r="C220" s="34"/>
      <c r="D220" s="35"/>
      <c r="E220" s="36"/>
      <c r="F220" s="35"/>
      <c r="G220" s="36"/>
      <c r="H220" s="35"/>
      <c r="I220" s="36"/>
      <c r="J220" s="35"/>
      <c r="K220" s="36"/>
      <c r="L220" s="35"/>
      <c r="M220" s="36"/>
      <c r="N220" s="35"/>
      <c r="O220" s="36"/>
      <c r="P220" s="36"/>
      <c r="Q220" s="36"/>
      <c r="R220" s="35"/>
      <c r="S220" s="35"/>
      <c r="T220" s="35"/>
      <c r="U220" s="35"/>
      <c r="V220" s="35"/>
      <c r="W220" s="35"/>
      <c r="X220" s="35"/>
      <c r="Y220" s="35"/>
      <c r="Z220" s="35"/>
      <c r="AA220" s="36"/>
    </row>
    <row r="221" spans="2:27" x14ac:dyDescent="0.2">
      <c r="B221" s="34"/>
      <c r="C221" s="34"/>
      <c r="D221" s="35"/>
      <c r="E221" s="36"/>
      <c r="F221" s="35"/>
      <c r="G221" s="36"/>
      <c r="H221" s="35"/>
      <c r="I221" s="36"/>
      <c r="J221" s="35"/>
      <c r="K221" s="36"/>
      <c r="L221" s="35"/>
      <c r="M221" s="36"/>
      <c r="N221" s="35"/>
      <c r="O221" s="36"/>
      <c r="P221" s="36"/>
      <c r="Q221" s="36"/>
      <c r="R221" s="35"/>
      <c r="S221" s="35"/>
      <c r="T221" s="35"/>
      <c r="U221" s="35"/>
      <c r="V221" s="35"/>
      <c r="W221" s="35"/>
      <c r="X221" s="35"/>
      <c r="Y221" s="35"/>
      <c r="Z221" s="35"/>
      <c r="AA221" s="36"/>
    </row>
    <row r="222" spans="2:27" x14ac:dyDescent="0.2">
      <c r="B222" s="34"/>
      <c r="C222" s="34"/>
      <c r="D222" s="35"/>
      <c r="E222" s="36"/>
      <c r="F222" s="35"/>
      <c r="G222" s="36"/>
      <c r="H222" s="35"/>
      <c r="I222" s="36"/>
      <c r="J222" s="35"/>
      <c r="K222" s="36"/>
      <c r="L222" s="35"/>
      <c r="M222" s="36"/>
      <c r="N222" s="35"/>
      <c r="O222" s="36"/>
      <c r="P222" s="36"/>
      <c r="Q222" s="36"/>
      <c r="R222" s="35"/>
      <c r="S222" s="35"/>
      <c r="T222" s="35"/>
      <c r="U222" s="35"/>
      <c r="V222" s="35"/>
      <c r="W222" s="35"/>
      <c r="X222" s="35"/>
      <c r="Y222" s="35"/>
      <c r="Z222" s="35"/>
      <c r="AA222" s="36"/>
    </row>
    <row r="223" spans="2:27" x14ac:dyDescent="0.2">
      <c r="B223" s="34"/>
      <c r="C223" s="34"/>
      <c r="D223" s="35"/>
      <c r="E223" s="36"/>
      <c r="F223" s="35"/>
      <c r="G223" s="36"/>
      <c r="H223" s="35"/>
      <c r="I223" s="36"/>
      <c r="J223" s="35"/>
      <c r="K223" s="36"/>
      <c r="L223" s="35"/>
      <c r="M223" s="36"/>
      <c r="N223" s="35"/>
      <c r="O223" s="36"/>
      <c r="P223" s="36"/>
      <c r="Q223" s="36"/>
      <c r="R223" s="35"/>
      <c r="S223" s="35"/>
      <c r="T223" s="35"/>
      <c r="U223" s="35"/>
      <c r="V223" s="35"/>
      <c r="W223" s="35"/>
      <c r="X223" s="35"/>
      <c r="Y223" s="35"/>
      <c r="Z223" s="35"/>
      <c r="AA223" s="36"/>
    </row>
  </sheetData>
  <sheetProtection formatCells="0" insertRows="0" deleteColumns="0" selectLockedCells="1"/>
  <sortState ref="IY6:IZ89">
    <sortCondition ref="IY5"/>
  </sortState>
  <mergeCells count="325">
    <mergeCell ref="B43:C43"/>
    <mergeCell ref="D154:E154"/>
    <mergeCell ref="F152:O152"/>
    <mergeCell ref="C45:C48"/>
    <mergeCell ref="D153:E153"/>
    <mergeCell ref="L107:M107"/>
    <mergeCell ref="D106:E106"/>
    <mergeCell ref="F126:G126"/>
    <mergeCell ref="N127:O127"/>
    <mergeCell ref="F147:O147"/>
    <mergeCell ref="D125:AG125"/>
    <mergeCell ref="V107:W107"/>
    <mergeCell ref="AD126:AE126"/>
    <mergeCell ref="AD107:AE107"/>
    <mergeCell ref="AB126:AC126"/>
    <mergeCell ref="X107:Y107"/>
    <mergeCell ref="P67:Q67"/>
    <mergeCell ref="V127:W127"/>
    <mergeCell ref="L126:M126"/>
    <mergeCell ref="D85:AG85"/>
    <mergeCell ref="AB67:AC67"/>
    <mergeCell ref="AF67:AG67"/>
    <mergeCell ref="T87:U87"/>
    <mergeCell ref="V86:W86"/>
    <mergeCell ref="S157:U157"/>
    <mergeCell ref="F154:O154"/>
    <mergeCell ref="P5:R5"/>
    <mergeCell ref="P6:Q6"/>
    <mergeCell ref="P7:Q7"/>
    <mergeCell ref="P8:Q8"/>
    <mergeCell ref="P9:Q9"/>
    <mergeCell ref="P10:Q10"/>
    <mergeCell ref="B204:C204"/>
    <mergeCell ref="B202:C202"/>
    <mergeCell ref="B203:C203"/>
    <mergeCell ref="B198:C199"/>
    <mergeCell ref="B195:C195"/>
    <mergeCell ref="B194:C194"/>
    <mergeCell ref="B196:C196"/>
    <mergeCell ref="B192:C193"/>
    <mergeCell ref="I204:AF204"/>
    <mergeCell ref="I199:AF199"/>
    <mergeCell ref="I200:AF200"/>
    <mergeCell ref="C157:C159"/>
    <mergeCell ref="B157:B159"/>
    <mergeCell ref="F150:O150"/>
    <mergeCell ref="I203:AF203"/>
    <mergeCell ref="B201:C201"/>
    <mergeCell ref="B212:L212"/>
    <mergeCell ref="IO42:IP42"/>
    <mergeCell ref="B214:J214"/>
    <mergeCell ref="B213:L213"/>
    <mergeCell ref="D192:F192"/>
    <mergeCell ref="AD192:AF192"/>
    <mergeCell ref="AA192:AC192"/>
    <mergeCell ref="J192:L192"/>
    <mergeCell ref="G192:I192"/>
    <mergeCell ref="P192:R192"/>
    <mergeCell ref="M192:O192"/>
    <mergeCell ref="V157:X157"/>
    <mergeCell ref="Y157:AA157"/>
    <mergeCell ref="AB157:AD157"/>
    <mergeCell ref="D157:F157"/>
    <mergeCell ref="G157:I157"/>
    <mergeCell ref="J157:L157"/>
    <mergeCell ref="M157:O157"/>
    <mergeCell ref="D148:E148"/>
    <mergeCell ref="F148:O148"/>
    <mergeCell ref="F146:O146"/>
    <mergeCell ref="P157:R157"/>
    <mergeCell ref="J107:K107"/>
    <mergeCell ref="N107:O107"/>
    <mergeCell ref="Z67:AA67"/>
    <mergeCell ref="H67:I67"/>
    <mergeCell ref="L67:M67"/>
    <mergeCell ref="AD127:AE127"/>
    <mergeCell ref="H127:I127"/>
    <mergeCell ref="AD86:AE86"/>
    <mergeCell ref="AD67:AE67"/>
    <mergeCell ref="AF126:AG126"/>
    <mergeCell ref="X127:Y127"/>
    <mergeCell ref="R127:S127"/>
    <mergeCell ref="T127:U127"/>
    <mergeCell ref="X67:Y67"/>
    <mergeCell ref="R126:S126"/>
    <mergeCell ref="T126:U126"/>
    <mergeCell ref="V126:W126"/>
    <mergeCell ref="P107:Q107"/>
    <mergeCell ref="P126:Q126"/>
    <mergeCell ref="Z86:AA86"/>
    <mergeCell ref="Z87:AA87"/>
    <mergeCell ref="P106:Q106"/>
    <mergeCell ref="Z106:AA106"/>
    <mergeCell ref="R87:S87"/>
    <mergeCell ref="V106:W106"/>
    <mergeCell ref="H86:I86"/>
    <mergeCell ref="X106:Y106"/>
    <mergeCell ref="R106:S106"/>
    <mergeCell ref="N86:O86"/>
    <mergeCell ref="N87:O87"/>
    <mergeCell ref="B146:E146"/>
    <mergeCell ref="AB127:AC127"/>
    <mergeCell ref="Z126:AA126"/>
    <mergeCell ref="Z127:AA127"/>
    <mergeCell ref="F127:G127"/>
    <mergeCell ref="N126:O126"/>
    <mergeCell ref="D127:E127"/>
    <mergeCell ref="D126:E126"/>
    <mergeCell ref="J126:K126"/>
    <mergeCell ref="J127:K127"/>
    <mergeCell ref="H126:I126"/>
    <mergeCell ref="P127:Q127"/>
    <mergeCell ref="X126:Y126"/>
    <mergeCell ref="L127:M127"/>
    <mergeCell ref="AF86:AG86"/>
    <mergeCell ref="AB106:AC106"/>
    <mergeCell ref="D105:AG105"/>
    <mergeCell ref="AD106:AE106"/>
    <mergeCell ref="D107:E107"/>
    <mergeCell ref="P87:Q87"/>
    <mergeCell ref="Z107:AA107"/>
    <mergeCell ref="T107:U107"/>
    <mergeCell ref="D87:E87"/>
    <mergeCell ref="AD87:AE87"/>
    <mergeCell ref="AB87:AC87"/>
    <mergeCell ref="X87:Y87"/>
    <mergeCell ref="L86:M86"/>
    <mergeCell ref="R86:S86"/>
    <mergeCell ref="T86:U86"/>
    <mergeCell ref="X86:Y86"/>
    <mergeCell ref="AB86:AC86"/>
    <mergeCell ref="AF106:AG106"/>
    <mergeCell ref="L106:M106"/>
    <mergeCell ref="AB107:AC107"/>
    <mergeCell ref="R107:S107"/>
    <mergeCell ref="F107:G107"/>
    <mergeCell ref="F87:G87"/>
    <mergeCell ref="H107:I107"/>
    <mergeCell ref="F11:G11"/>
    <mergeCell ref="F10:G10"/>
    <mergeCell ref="C11:D11"/>
    <mergeCell ref="B6:C6"/>
    <mergeCell ref="C13:D13"/>
    <mergeCell ref="F13:G13"/>
    <mergeCell ref="C17:D17"/>
    <mergeCell ref="C15:D15"/>
    <mergeCell ref="L12:M12"/>
    <mergeCell ref="B7:C7"/>
    <mergeCell ref="H10:J10"/>
    <mergeCell ref="L6:M6"/>
    <mergeCell ref="L7:M7"/>
    <mergeCell ref="L8:M8"/>
    <mergeCell ref="D7:F7"/>
    <mergeCell ref="F9:G9"/>
    <mergeCell ref="D6:F6"/>
    <mergeCell ref="L9:M9"/>
    <mergeCell ref="L10:M10"/>
    <mergeCell ref="C9:D9"/>
    <mergeCell ref="F17:G17"/>
    <mergeCell ref="H13:J13"/>
    <mergeCell ref="H14:J14"/>
    <mergeCell ref="C12:D12"/>
    <mergeCell ref="P11:Q11"/>
    <mergeCell ref="P12:Q12"/>
    <mergeCell ref="F39:H39"/>
    <mergeCell ref="L13:M13"/>
    <mergeCell ref="C31:D31"/>
    <mergeCell ref="C32:D32"/>
    <mergeCell ref="C33:D33"/>
    <mergeCell ref="C21:D21"/>
    <mergeCell ref="L5:N5"/>
    <mergeCell ref="H9:J9"/>
    <mergeCell ref="C10:D10"/>
    <mergeCell ref="I39:O39"/>
    <mergeCell ref="D5:F5"/>
    <mergeCell ref="B5:C5"/>
    <mergeCell ref="L14:M14"/>
    <mergeCell ref="H11:J11"/>
    <mergeCell ref="L11:M11"/>
    <mergeCell ref="I37:O37"/>
    <mergeCell ref="H17:J17"/>
    <mergeCell ref="H15:J15"/>
    <mergeCell ref="F15:G15"/>
    <mergeCell ref="F16:G16"/>
    <mergeCell ref="H12:J12"/>
    <mergeCell ref="C27:D27"/>
    <mergeCell ref="C24:D24"/>
    <mergeCell ref="C25:D25"/>
    <mergeCell ref="F12:G12"/>
    <mergeCell ref="C14:D14"/>
    <mergeCell ref="F36:H36"/>
    <mergeCell ref="C18:D18"/>
    <mergeCell ref="C19:D19"/>
    <mergeCell ref="C20:D20"/>
    <mergeCell ref="P13:Q13"/>
    <mergeCell ref="P14:Q14"/>
    <mergeCell ref="C23:D23"/>
    <mergeCell ref="F14:G14"/>
    <mergeCell ref="H16:J16"/>
    <mergeCell ref="I36:O36"/>
    <mergeCell ref="M26:N26"/>
    <mergeCell ref="M27:N27"/>
    <mergeCell ref="M28:N28"/>
    <mergeCell ref="M29:N29"/>
    <mergeCell ref="M30:N30"/>
    <mergeCell ref="C29:D29"/>
    <mergeCell ref="C30:D30"/>
    <mergeCell ref="AD66:AE66"/>
    <mergeCell ref="AB47:AC47"/>
    <mergeCell ref="X66:Y66"/>
    <mergeCell ref="V66:W66"/>
    <mergeCell ref="J46:K46"/>
    <mergeCell ref="X46:Y46"/>
    <mergeCell ref="Z47:AA47"/>
    <mergeCell ref="H46:I46"/>
    <mergeCell ref="X47:Y47"/>
    <mergeCell ref="R47:S47"/>
    <mergeCell ref="D65:AG65"/>
    <mergeCell ref="Z46:AA46"/>
    <mergeCell ref="AB66:AC66"/>
    <mergeCell ref="L66:M66"/>
    <mergeCell ref="T66:U66"/>
    <mergeCell ref="L46:M46"/>
    <mergeCell ref="R66:S66"/>
    <mergeCell ref="H66:I66"/>
    <mergeCell ref="AD47:AE47"/>
    <mergeCell ref="Z66:AA66"/>
    <mergeCell ref="AB46:AC46"/>
    <mergeCell ref="P46:Q46"/>
    <mergeCell ref="D46:E46"/>
    <mergeCell ref="D47:E47"/>
    <mergeCell ref="AH29:AJ30"/>
    <mergeCell ref="AI31:AJ31"/>
    <mergeCell ref="AI32:AJ32"/>
    <mergeCell ref="AI33:AJ33"/>
    <mergeCell ref="AI34:AJ34"/>
    <mergeCell ref="AI35:AJ35"/>
    <mergeCell ref="AI36:AJ36"/>
    <mergeCell ref="D45:AG45"/>
    <mergeCell ref="P47:Q47"/>
    <mergeCell ref="AD46:AE46"/>
    <mergeCell ref="AF46:AG46"/>
    <mergeCell ref="F41:H41"/>
    <mergeCell ref="F37:H37"/>
    <mergeCell ref="I41:O41"/>
    <mergeCell ref="F47:G47"/>
    <mergeCell ref="T47:U47"/>
    <mergeCell ref="V47:W47"/>
    <mergeCell ref="R46:S46"/>
    <mergeCell ref="N47:O47"/>
    <mergeCell ref="F46:G46"/>
    <mergeCell ref="J47:K47"/>
    <mergeCell ref="L47:M47"/>
    <mergeCell ref="H47:I47"/>
    <mergeCell ref="T106:U106"/>
    <mergeCell ref="V87:W87"/>
    <mergeCell ref="T46:U46"/>
    <mergeCell ref="V46:W46"/>
    <mergeCell ref="D67:E67"/>
    <mergeCell ref="F67:G67"/>
    <mergeCell ref="D86:E86"/>
    <mergeCell ref="F86:G86"/>
    <mergeCell ref="H87:I87"/>
    <mergeCell ref="P86:Q86"/>
    <mergeCell ref="F106:G106"/>
    <mergeCell ref="R67:S67"/>
    <mergeCell ref="T67:U67"/>
    <mergeCell ref="J67:K67"/>
    <mergeCell ref="V67:W67"/>
    <mergeCell ref="D66:E66"/>
    <mergeCell ref="F66:G66"/>
    <mergeCell ref="P66:Q66"/>
    <mergeCell ref="N67:O67"/>
    <mergeCell ref="J86:K86"/>
    <mergeCell ref="J87:K87"/>
    <mergeCell ref="L87:M87"/>
    <mergeCell ref="N106:O106"/>
    <mergeCell ref="H106:I106"/>
    <mergeCell ref="H180:J180"/>
    <mergeCell ref="K180:M180"/>
    <mergeCell ref="D180:E181"/>
    <mergeCell ref="F180:G181"/>
    <mergeCell ref="F190:G190"/>
    <mergeCell ref="B63:C63"/>
    <mergeCell ref="B45:B48"/>
    <mergeCell ref="N46:O46"/>
    <mergeCell ref="N66:O66"/>
    <mergeCell ref="J66:K66"/>
    <mergeCell ref="J106:K106"/>
    <mergeCell ref="F187:G187"/>
    <mergeCell ref="F188:G188"/>
    <mergeCell ref="F189:G189"/>
    <mergeCell ref="D182:E182"/>
    <mergeCell ref="D183:E183"/>
    <mergeCell ref="D184:E184"/>
    <mergeCell ref="D185:E185"/>
    <mergeCell ref="F182:G182"/>
    <mergeCell ref="F183:G183"/>
    <mergeCell ref="F184:G184"/>
    <mergeCell ref="F185:G185"/>
    <mergeCell ref="F186:G186"/>
    <mergeCell ref="AH22:AI22"/>
    <mergeCell ref="AH23:AI23"/>
    <mergeCell ref="AH24:AI24"/>
    <mergeCell ref="AH25:AI25"/>
    <mergeCell ref="AH26:AI26"/>
    <mergeCell ref="D152:E152"/>
    <mergeCell ref="B208:O208"/>
    <mergeCell ref="D186:E186"/>
    <mergeCell ref="D187:E187"/>
    <mergeCell ref="D188:E188"/>
    <mergeCell ref="D189:E189"/>
    <mergeCell ref="D190:E190"/>
    <mergeCell ref="D147:E147"/>
    <mergeCell ref="F153:O153"/>
    <mergeCell ref="D151:E151"/>
    <mergeCell ref="F149:O149"/>
    <mergeCell ref="D150:E150"/>
    <mergeCell ref="D149:E149"/>
    <mergeCell ref="B200:C200"/>
    <mergeCell ref="D198:AF198"/>
    <mergeCell ref="B180:B181"/>
    <mergeCell ref="C180:C181"/>
    <mergeCell ref="I201:AF201"/>
    <mergeCell ref="I202:AF202"/>
  </mergeCells>
  <phoneticPr fontId="1" type="noConversion"/>
  <conditionalFormatting sqref="F43">
    <cfRule type="expression" dxfId="3" priority="1" stopIfTrue="1">
      <formula>$F$43="diferencia de pesos"</formula>
    </cfRule>
  </conditionalFormatting>
  <conditionalFormatting sqref="H43">
    <cfRule type="expression" dxfId="2" priority="2" stopIfTrue="1">
      <formula>$H$43="diferencia de cantidades"</formula>
    </cfRule>
  </conditionalFormatting>
  <dataValidations xWindow="408" yWindow="118" count="16">
    <dataValidation type="list" allowBlank="1" showInputMessage="1" showErrorMessage="1" sqref="D7:F7">
      <formula1>$IJ$4:$IJ$14</formula1>
    </dataValidation>
    <dataValidation type="list" allowBlank="1" showInputMessage="1" showErrorMessage="1" sqref="D149:E149 B41:C41 C16:D16">
      <formula1>#REF!</formula1>
    </dataValidation>
    <dataValidation type="list" allowBlank="1" showInputMessage="1" showErrorMessage="1" sqref="B200:C204">
      <formula1>$IO$4:$IO$47</formula1>
    </dataValidation>
    <dataValidation type="list" allowBlank="1" showInputMessage="1" showErrorMessage="1" sqref="B195:C196">
      <formula1>$IV$38:$IV$40</formula1>
    </dataValidation>
    <dataValidation type="list" allowBlank="1" showInputMessage="1" showErrorMessage="1" sqref="D153:E153">
      <formula1>$IT$39:$IT$40</formula1>
    </dataValidation>
    <dataValidation type="list" allowBlank="1" showInputMessage="1" showErrorMessage="1" sqref="D148:E148">
      <formula1>$IU$4:$IU$6</formula1>
    </dataValidation>
    <dataValidation type="list" allowBlank="1" showInputMessage="1" showErrorMessage="1" sqref="D154:E155">
      <formula1>$IW$4:$IW$5</formula1>
    </dataValidation>
    <dataValidation type="list" allowBlank="1" showInputMessage="1" showErrorMessage="1" errorTitle="Tisur" error="no" promptTitle="equipos" prompt="Tisur" sqref="IM36">
      <formula1>$IM$4:$IM$22</formula1>
    </dataValidation>
    <dataValidation type="list" allowBlank="1" showInputMessage="1" showErrorMessage="1" sqref="B194:C194">
      <formula1>$IS$4:$IS$22</formula1>
    </dataValidation>
    <dataValidation type="list" allowBlank="1" showInputMessage="1" showErrorMessage="1" sqref="C160:C177">
      <formula1>$IL$4:$IL$49</formula1>
    </dataValidation>
    <dataValidation type="list" allowBlank="1" showInputMessage="1" showErrorMessage="1" sqref="D160:AD177">
      <formula1>$IY$5:$IY$512</formula1>
    </dataValidation>
    <dataValidation type="list" allowBlank="1" showInputMessage="1" showErrorMessage="1" sqref="C14:D15">
      <formula1>$IR$4:$IR$19</formula1>
    </dataValidation>
    <dataValidation type="list" allowBlank="1" showInputMessage="1" showErrorMessage="1" sqref="B182:B190">
      <formula1>$JB$5:$JB$17</formula1>
    </dataValidation>
    <dataValidation type="list" allowBlank="1" showInputMessage="1" showErrorMessage="1" sqref="C21:D21">
      <formula1>$IG$4:$IG$13</formula1>
    </dataValidation>
    <dataValidation type="list" allowBlank="1" showInputMessage="1" showErrorMessage="1" sqref="B37:B40">
      <formula1>$IH$4:$IH$12</formula1>
    </dataValidation>
    <dataValidation type="list" allowBlank="1" showInputMessage="1" showErrorMessage="1" sqref="C37:C40">
      <formula1>$II$4:$II$9</formula1>
    </dataValidation>
  </dataValidations>
  <pageMargins left="0.39" right="0.39" top="0.41" bottom="0.39" header="0" footer="0"/>
  <pageSetup orientation="landscape" verticalDpi="300" r:id="rId1"/>
  <headerFooter alignWithMargins="0"/>
  <ignoredErrors>
    <ignoredError sqref="N193 K193 H193 E193 AA193:AE193 Q193:R193 E158:L158" twoDigitTextYear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C5"/>
  <sheetViews>
    <sheetView workbookViewId="0">
      <selection activeCell="A5" sqref="A5"/>
    </sheetView>
  </sheetViews>
  <sheetFormatPr baseColWidth="10" defaultRowHeight="12.75" x14ac:dyDescent="0.2"/>
  <cols>
    <col min="6" max="6" width="14.85546875" customWidth="1"/>
    <col min="26" max="26" width="15.42578125" customWidth="1"/>
  </cols>
  <sheetData>
    <row r="4" spans="1:29" x14ac:dyDescent="0.2">
      <c r="A4" s="215" t="s">
        <v>16</v>
      </c>
      <c r="B4" s="215" t="s">
        <v>15</v>
      </c>
      <c r="C4" s="215" t="s">
        <v>380</v>
      </c>
      <c r="D4" s="215" t="s">
        <v>14</v>
      </c>
      <c r="E4" s="215" t="s">
        <v>381</v>
      </c>
      <c r="F4" s="215" t="s">
        <v>382</v>
      </c>
      <c r="G4" s="215" t="s">
        <v>20</v>
      </c>
      <c r="H4" s="215" t="s">
        <v>383</v>
      </c>
      <c r="I4" s="215" t="s">
        <v>131</v>
      </c>
      <c r="J4" s="215" t="s">
        <v>384</v>
      </c>
      <c r="K4" s="215" t="s">
        <v>385</v>
      </c>
      <c r="L4" s="215" t="s">
        <v>386</v>
      </c>
      <c r="M4" s="215" t="s">
        <v>387</v>
      </c>
      <c r="N4" s="215" t="s">
        <v>388</v>
      </c>
      <c r="O4" s="215" t="s">
        <v>389</v>
      </c>
      <c r="P4" s="216" t="s">
        <v>390</v>
      </c>
      <c r="Q4" s="217" t="s">
        <v>391</v>
      </c>
      <c r="R4" s="217" t="s">
        <v>392</v>
      </c>
      <c r="S4" s="218" t="s">
        <v>393</v>
      </c>
      <c r="T4" s="218" t="s">
        <v>394</v>
      </c>
      <c r="U4" s="218" t="s">
        <v>395</v>
      </c>
      <c r="V4" s="218" t="s">
        <v>396</v>
      </c>
      <c r="W4" s="218" t="s">
        <v>397</v>
      </c>
      <c r="X4" s="218" t="s">
        <v>398</v>
      </c>
      <c r="Y4" s="218" t="s">
        <v>399</v>
      </c>
      <c r="Z4" s="218" t="s">
        <v>400</v>
      </c>
      <c r="AA4" s="218" t="s">
        <v>401</v>
      </c>
      <c r="AB4" s="218" t="s">
        <v>402</v>
      </c>
      <c r="AC4" s="218" t="s">
        <v>403</v>
      </c>
    </row>
    <row r="5" spans="1:29" x14ac:dyDescent="0.2">
      <c r="A5" s="219">
        <f>Informe!D6</f>
        <v>10841</v>
      </c>
      <c r="B5" s="219" t="str">
        <f>Informe!D5</f>
        <v>SKY KNIGHT</v>
      </c>
      <c r="C5" s="220">
        <f>Informe!H13</f>
        <v>0.875</v>
      </c>
      <c r="D5" s="220">
        <f>Informe!N7</f>
        <v>5.5555555555555552E-2</v>
      </c>
      <c r="E5" s="220">
        <f>Informe!N8</f>
        <v>0.18680555555555553</v>
      </c>
      <c r="F5" s="220">
        <f>Informe!N9</f>
        <v>0.18055555555555544</v>
      </c>
      <c r="G5" s="220">
        <f>Informe!N10</f>
        <v>0.14791666666666659</v>
      </c>
      <c r="H5" s="221"/>
      <c r="I5" s="220">
        <f>Informe!N11</f>
        <v>0</v>
      </c>
      <c r="J5" s="221"/>
      <c r="K5" s="220">
        <f>Informe!N14</f>
        <v>8.3333333333333315E-3</v>
      </c>
      <c r="L5" s="221"/>
      <c r="M5" s="220">
        <f>Informe!N12</f>
        <v>0</v>
      </c>
      <c r="N5" s="221"/>
      <c r="O5" s="220">
        <f>Informe!N13</f>
        <v>4.0972222222222299E-2</v>
      </c>
      <c r="P5" s="221">
        <f>SUM(D5:O5)</f>
        <v>0.62013888888888868</v>
      </c>
      <c r="Q5" s="222">
        <f>Informe!C11</f>
        <v>45938.951388888891</v>
      </c>
      <c r="R5" s="222">
        <f>Informe!C12</f>
        <v>45940.145833333336</v>
      </c>
      <c r="S5" s="222">
        <f>Informe!C27</f>
        <v>45929.864583333336</v>
      </c>
      <c r="T5" s="222">
        <f>Informe!C17</f>
        <v>45938.708333333336</v>
      </c>
      <c r="U5" s="222">
        <f>Informe!C20</f>
        <v>45940.097222222219</v>
      </c>
      <c r="V5" s="222">
        <f>Informe!C18</f>
        <v>45938.833333333336</v>
      </c>
      <c r="W5" s="222">
        <f>Informe!C19</f>
        <v>45940.083333333336</v>
      </c>
      <c r="X5" s="222">
        <f>Informe!C9</f>
        <v>45933.4375</v>
      </c>
      <c r="Y5" s="223">
        <f>Informe!C23</f>
        <v>9561942</v>
      </c>
      <c r="Z5" s="222" t="str">
        <f>Informe!C24</f>
        <v>SIN LINEA NAVIERA</v>
      </c>
      <c r="AA5" s="222" t="str">
        <f>Informe!C25</f>
        <v>TRAMP</v>
      </c>
      <c r="AB5" s="222">
        <f>Informe!C29</f>
        <v>45909.78125</v>
      </c>
      <c r="AC5" s="222">
        <f>Informe!C30</f>
        <v>45940.1875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U238"/>
  <sheetViews>
    <sheetView showGridLines="0" zoomScaleNormal="100" workbookViewId="0">
      <selection activeCell="T12" sqref="T12"/>
    </sheetView>
  </sheetViews>
  <sheetFormatPr baseColWidth="10" defaultColWidth="11.42578125" defaultRowHeight="12" x14ac:dyDescent="0.2"/>
  <cols>
    <col min="1" max="1" width="0.85546875" style="3" customWidth="1"/>
    <col min="2" max="2" width="8.42578125" style="34" bestFit="1" customWidth="1"/>
    <col min="3" max="3" width="9.28515625" style="3" bestFit="1" customWidth="1"/>
    <col min="4" max="6" width="8.140625" style="3" customWidth="1"/>
    <col min="7" max="7" width="12.5703125" style="3" customWidth="1"/>
    <col min="8" max="13" width="11.42578125" style="3"/>
    <col min="14" max="14" width="12.42578125" style="3" customWidth="1"/>
    <col min="15" max="16384" width="11.42578125" style="3"/>
  </cols>
  <sheetData>
    <row r="4" spans="2:255" x14ac:dyDescent="0.2">
      <c r="B4" s="2" t="s">
        <v>22</v>
      </c>
      <c r="N4" s="82" t="s">
        <v>422</v>
      </c>
    </row>
    <row r="5" spans="2:255" x14ac:dyDescent="0.2">
      <c r="B5" s="300" t="s">
        <v>8</v>
      </c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</row>
    <row r="6" spans="2:255" ht="12.75" customHeight="1" x14ac:dyDescent="0.2">
      <c r="B6" s="414" t="s">
        <v>43</v>
      </c>
      <c r="C6" s="414"/>
      <c r="D6" s="414"/>
      <c r="E6" s="396" t="s">
        <v>48</v>
      </c>
      <c r="F6" s="396"/>
      <c r="G6" s="410" t="s">
        <v>37</v>
      </c>
      <c r="H6" s="410"/>
      <c r="I6" s="410"/>
      <c r="J6" s="411"/>
      <c r="K6" s="410" t="s">
        <v>47</v>
      </c>
      <c r="L6" s="410"/>
      <c r="M6" s="410"/>
      <c r="N6" s="411"/>
      <c r="IS6" s="3" t="s">
        <v>133</v>
      </c>
      <c r="IT6" s="3" t="s">
        <v>99</v>
      </c>
      <c r="IU6" s="3" t="s">
        <v>86</v>
      </c>
    </row>
    <row r="7" spans="2:255" x14ac:dyDescent="0.2">
      <c r="B7" s="409" t="s">
        <v>36</v>
      </c>
      <c r="C7" s="409"/>
      <c r="D7" s="341"/>
      <c r="E7" s="412" t="s">
        <v>86</v>
      </c>
      <c r="F7" s="413"/>
      <c r="G7" s="327"/>
      <c r="H7" s="327"/>
      <c r="I7" s="327"/>
      <c r="J7" s="327"/>
      <c r="K7" s="315"/>
      <c r="L7" s="327"/>
      <c r="M7" s="327"/>
      <c r="N7" s="327"/>
      <c r="IS7" s="3" t="s">
        <v>138</v>
      </c>
      <c r="IT7" s="3" t="s">
        <v>97</v>
      </c>
      <c r="IU7" s="3" t="s">
        <v>87</v>
      </c>
    </row>
    <row r="8" spans="2:255" x14ac:dyDescent="0.2">
      <c r="B8" s="409" t="s">
        <v>38</v>
      </c>
      <c r="C8" s="409"/>
      <c r="D8" s="341"/>
      <c r="E8" s="412" t="s">
        <v>86</v>
      </c>
      <c r="F8" s="413"/>
      <c r="G8" s="327"/>
      <c r="H8" s="327"/>
      <c r="I8" s="327"/>
      <c r="J8" s="327"/>
      <c r="K8" s="315"/>
      <c r="L8" s="327"/>
      <c r="M8" s="327"/>
      <c r="N8" s="327"/>
      <c r="IS8" s="3" t="s">
        <v>98</v>
      </c>
      <c r="IT8" s="3" t="s">
        <v>96</v>
      </c>
    </row>
    <row r="9" spans="2:255" x14ac:dyDescent="0.2">
      <c r="B9" s="409" t="s">
        <v>39</v>
      </c>
      <c r="C9" s="409"/>
      <c r="D9" s="341"/>
      <c r="E9" s="412" t="s">
        <v>86</v>
      </c>
      <c r="F9" s="413"/>
      <c r="G9" s="327"/>
      <c r="H9" s="327"/>
      <c r="I9" s="327"/>
      <c r="J9" s="327"/>
      <c r="K9" s="315"/>
      <c r="L9" s="327"/>
      <c r="M9" s="327"/>
      <c r="N9" s="327"/>
      <c r="IT9" s="3" t="s">
        <v>98</v>
      </c>
    </row>
    <row r="10" spans="2:255" x14ac:dyDescent="0.2">
      <c r="B10" s="409" t="s">
        <v>40</v>
      </c>
      <c r="C10" s="409"/>
      <c r="D10" s="341"/>
      <c r="E10" s="412" t="s">
        <v>86</v>
      </c>
      <c r="F10" s="413"/>
      <c r="G10" s="327"/>
      <c r="H10" s="327"/>
      <c r="I10" s="327"/>
      <c r="J10" s="327"/>
      <c r="K10" s="315"/>
      <c r="L10" s="327"/>
      <c r="M10" s="327"/>
      <c r="N10" s="327"/>
      <c r="IT10" s="3" t="s">
        <v>134</v>
      </c>
    </row>
    <row r="11" spans="2:255" x14ac:dyDescent="0.2">
      <c r="B11" s="409" t="s">
        <v>41</v>
      </c>
      <c r="C11" s="409"/>
      <c r="D11" s="341"/>
      <c r="E11" s="412" t="s">
        <v>86</v>
      </c>
      <c r="F11" s="413"/>
      <c r="G11" s="327"/>
      <c r="H11" s="327"/>
      <c r="I11" s="327"/>
      <c r="J11" s="327"/>
      <c r="K11" s="315"/>
      <c r="L11" s="327"/>
      <c r="M11" s="327"/>
      <c r="N11" s="327"/>
      <c r="IT11" s="3" t="s">
        <v>135</v>
      </c>
    </row>
    <row r="12" spans="2:255" x14ac:dyDescent="0.2">
      <c r="B12" s="409" t="s">
        <v>42</v>
      </c>
      <c r="C12" s="409"/>
      <c r="D12" s="341"/>
      <c r="E12" s="412" t="s">
        <v>86</v>
      </c>
      <c r="F12" s="413"/>
      <c r="G12" s="327"/>
      <c r="H12" s="327"/>
      <c r="I12" s="327"/>
      <c r="J12" s="327"/>
      <c r="K12" s="315"/>
      <c r="L12" s="327"/>
      <c r="M12" s="327"/>
      <c r="N12" s="327"/>
      <c r="IT12" s="3" t="s">
        <v>136</v>
      </c>
    </row>
    <row r="13" spans="2:255" x14ac:dyDescent="0.2">
      <c r="IT13" s="3" t="s">
        <v>137</v>
      </c>
    </row>
    <row r="14" spans="2:255" x14ac:dyDescent="0.2">
      <c r="B14" s="308" t="s">
        <v>85</v>
      </c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09"/>
      <c r="N14" s="309"/>
      <c r="O14" s="310"/>
    </row>
    <row r="15" spans="2:255" x14ac:dyDescent="0.2">
      <c r="B15" s="302" t="s">
        <v>46</v>
      </c>
      <c r="C15" s="416"/>
      <c r="D15" s="416"/>
      <c r="E15" s="416"/>
      <c r="F15" s="416"/>
      <c r="G15" s="416"/>
      <c r="H15" s="416"/>
      <c r="I15" s="416"/>
      <c r="J15" s="416"/>
      <c r="K15" s="416"/>
      <c r="L15" s="416"/>
      <c r="M15" s="416"/>
      <c r="N15" s="416"/>
      <c r="O15" s="303"/>
    </row>
    <row r="16" spans="2:255" x14ac:dyDescent="0.2">
      <c r="B16" s="395" t="s">
        <v>5</v>
      </c>
      <c r="C16" s="395" t="s">
        <v>0</v>
      </c>
      <c r="D16" s="396" t="s">
        <v>44</v>
      </c>
      <c r="E16" s="396"/>
      <c r="F16" s="397" t="s">
        <v>6</v>
      </c>
      <c r="G16" s="311" t="s">
        <v>19</v>
      </c>
      <c r="H16" s="399"/>
      <c r="I16" s="399"/>
      <c r="J16" s="399"/>
      <c r="K16" s="399"/>
      <c r="L16" s="399"/>
      <c r="M16" s="312"/>
      <c r="N16" s="397" t="s">
        <v>45</v>
      </c>
      <c r="O16" s="397" t="s">
        <v>130</v>
      </c>
    </row>
    <row r="17" spans="2:15" x14ac:dyDescent="0.2">
      <c r="B17" s="395"/>
      <c r="C17" s="397"/>
      <c r="D17" s="156" t="s">
        <v>2</v>
      </c>
      <c r="E17" s="156" t="s">
        <v>3</v>
      </c>
      <c r="F17" s="398"/>
      <c r="G17" s="404"/>
      <c r="H17" s="405"/>
      <c r="I17" s="405"/>
      <c r="J17" s="405"/>
      <c r="K17" s="405"/>
      <c r="L17" s="405"/>
      <c r="M17" s="406"/>
      <c r="N17" s="398"/>
      <c r="O17" s="398"/>
    </row>
    <row r="18" spans="2:15" ht="12.75" x14ac:dyDescent="0.2">
      <c r="B18" s="83" t="s">
        <v>452</v>
      </c>
      <c r="C18" s="201">
        <v>45938</v>
      </c>
      <c r="D18" s="202">
        <v>0.72986111111111107</v>
      </c>
      <c r="E18" s="213">
        <v>0.77083333333333337</v>
      </c>
      <c r="F18" s="213">
        <f t="shared" ref="F18:F27" si="0">IF(D18="","",E18-D18)</f>
        <v>4.0972222222222299E-2</v>
      </c>
      <c r="G18" s="262" t="s">
        <v>136</v>
      </c>
      <c r="H18" s="88"/>
      <c r="I18" s="88"/>
      <c r="J18" s="88"/>
      <c r="K18" s="88"/>
      <c r="L18" s="88"/>
      <c r="M18" s="88"/>
      <c r="N18" s="83" t="s">
        <v>136</v>
      </c>
      <c r="O18" s="44"/>
    </row>
    <row r="19" spans="2:15" ht="12.75" x14ac:dyDescent="0.2">
      <c r="B19" s="86" t="s">
        <v>452</v>
      </c>
      <c r="C19" s="205">
        <v>45938</v>
      </c>
      <c r="D19" s="261">
        <v>0.77083333333333337</v>
      </c>
      <c r="E19" s="204">
        <v>0.78125</v>
      </c>
      <c r="F19" s="204">
        <f t="shared" si="0"/>
        <v>1.041666666666663E-2</v>
      </c>
      <c r="G19" s="262" t="s">
        <v>462</v>
      </c>
      <c r="H19" s="88"/>
      <c r="I19" s="88"/>
      <c r="J19" s="88"/>
      <c r="K19" s="88"/>
      <c r="L19" s="88"/>
      <c r="M19" s="88"/>
      <c r="N19" s="86" t="s">
        <v>96</v>
      </c>
      <c r="O19" s="89"/>
    </row>
    <row r="20" spans="2:15" ht="12.75" x14ac:dyDescent="0.2">
      <c r="B20" s="86" t="s">
        <v>452</v>
      </c>
      <c r="C20" s="205">
        <v>45938</v>
      </c>
      <c r="D20" s="261">
        <v>0.78125</v>
      </c>
      <c r="E20" s="204">
        <v>0.78819444444444442</v>
      </c>
      <c r="F20" s="204">
        <f t="shared" si="0"/>
        <v>6.9444444444444198E-3</v>
      </c>
      <c r="G20" s="262" t="s">
        <v>451</v>
      </c>
      <c r="H20" s="88"/>
      <c r="I20" s="88"/>
      <c r="J20" s="88"/>
      <c r="K20" s="88"/>
      <c r="L20" s="88"/>
      <c r="M20" s="88"/>
      <c r="N20" s="86" t="s">
        <v>96</v>
      </c>
      <c r="O20" s="89"/>
    </row>
    <row r="21" spans="2:15" ht="12.75" x14ac:dyDescent="0.2">
      <c r="B21" s="86" t="s">
        <v>452</v>
      </c>
      <c r="C21" s="205">
        <v>45938</v>
      </c>
      <c r="D21" s="261">
        <v>0.78819444444444442</v>
      </c>
      <c r="E21" s="204">
        <v>0.85416666666666663</v>
      </c>
      <c r="F21" s="204">
        <f t="shared" si="0"/>
        <v>6.597222222222221E-2</v>
      </c>
      <c r="G21" s="262" t="s">
        <v>463</v>
      </c>
      <c r="H21" s="88"/>
      <c r="I21" s="88"/>
      <c r="J21" s="88"/>
      <c r="K21" s="88"/>
      <c r="L21" s="88"/>
      <c r="M21" s="88"/>
      <c r="N21" s="86" t="s">
        <v>99</v>
      </c>
      <c r="O21" s="89"/>
    </row>
    <row r="22" spans="2:15" ht="12.75" x14ac:dyDescent="0.2">
      <c r="B22" s="86" t="s">
        <v>450</v>
      </c>
      <c r="C22" s="205">
        <v>45938</v>
      </c>
      <c r="D22" s="261">
        <v>0.85416666666666663</v>
      </c>
      <c r="E22" s="204">
        <v>0.9375</v>
      </c>
      <c r="F22" s="204">
        <f t="shared" si="0"/>
        <v>8.333333333333337E-2</v>
      </c>
      <c r="G22" s="262" t="s">
        <v>464</v>
      </c>
      <c r="H22" s="88"/>
      <c r="I22" s="88"/>
      <c r="J22" s="88"/>
      <c r="K22" s="88"/>
      <c r="L22" s="88"/>
      <c r="M22" s="88"/>
      <c r="N22" s="86" t="s">
        <v>96</v>
      </c>
      <c r="O22" s="89"/>
    </row>
    <row r="23" spans="2:15" ht="12.75" x14ac:dyDescent="0.2">
      <c r="B23" s="86" t="s">
        <v>450</v>
      </c>
      <c r="C23" s="205">
        <v>45938</v>
      </c>
      <c r="D23" s="261">
        <v>0.9375</v>
      </c>
      <c r="E23" s="204">
        <v>0.95138888888888884</v>
      </c>
      <c r="F23" s="204">
        <f t="shared" si="0"/>
        <v>1.388888888888884E-2</v>
      </c>
      <c r="G23" s="262" t="s">
        <v>465</v>
      </c>
      <c r="H23" s="88"/>
      <c r="I23" s="88"/>
      <c r="J23" s="88"/>
      <c r="K23" s="88"/>
      <c r="L23" s="88"/>
      <c r="M23" s="88"/>
      <c r="N23" s="86" t="s">
        <v>98</v>
      </c>
      <c r="O23" s="89"/>
    </row>
    <row r="24" spans="2:15" ht="12.75" x14ac:dyDescent="0.2">
      <c r="B24" s="86"/>
      <c r="C24" s="205"/>
      <c r="D24" s="261"/>
      <c r="E24" s="204"/>
      <c r="F24" s="229" t="str">
        <f t="shared" si="0"/>
        <v/>
      </c>
      <c r="G24" s="230"/>
      <c r="H24" s="88"/>
      <c r="I24" s="88"/>
      <c r="J24" s="88"/>
      <c r="K24" s="88"/>
      <c r="L24" s="88"/>
      <c r="M24" s="88"/>
      <c r="N24" s="86"/>
      <c r="O24" s="89"/>
    </row>
    <row r="25" spans="2:15" ht="12.75" x14ac:dyDescent="0.2">
      <c r="B25" s="86"/>
      <c r="C25" s="205"/>
      <c r="D25" s="261"/>
      <c r="E25" s="204"/>
      <c r="F25" s="229" t="str">
        <f t="shared" si="0"/>
        <v/>
      </c>
      <c r="G25" s="230"/>
      <c r="H25" s="88"/>
      <c r="I25" s="88"/>
      <c r="J25" s="88"/>
      <c r="K25" s="88"/>
      <c r="L25" s="88"/>
      <c r="M25" s="88"/>
      <c r="N25" s="86"/>
      <c r="O25" s="89"/>
    </row>
    <row r="26" spans="2:15" ht="12.75" x14ac:dyDescent="0.2">
      <c r="B26" s="86"/>
      <c r="C26" s="115"/>
      <c r="D26" s="204"/>
      <c r="E26" s="204"/>
      <c r="F26" s="229" t="str">
        <f t="shared" si="0"/>
        <v/>
      </c>
      <c r="G26" s="230"/>
      <c r="H26" s="88"/>
      <c r="I26" s="88"/>
      <c r="J26" s="88"/>
      <c r="K26" s="88"/>
      <c r="L26" s="88"/>
      <c r="M26" s="88"/>
      <c r="N26" s="86"/>
      <c r="O26" s="89"/>
    </row>
    <row r="27" spans="2:15" ht="12.75" x14ac:dyDescent="0.2">
      <c r="B27" s="86" t="s">
        <v>450</v>
      </c>
      <c r="C27" s="115">
        <v>45939</v>
      </c>
      <c r="D27" s="204">
        <v>0.14583333333333334</v>
      </c>
      <c r="E27" s="204">
        <v>0.15277777777777779</v>
      </c>
      <c r="F27" s="229">
        <f t="shared" si="0"/>
        <v>6.9444444444444475E-3</v>
      </c>
      <c r="G27" s="230" t="s">
        <v>457</v>
      </c>
      <c r="H27" s="88"/>
      <c r="I27" s="88"/>
      <c r="J27" s="88"/>
      <c r="K27" s="88"/>
      <c r="L27" s="88"/>
      <c r="M27" s="88"/>
      <c r="N27" s="86" t="s">
        <v>98</v>
      </c>
      <c r="O27" s="89"/>
    </row>
    <row r="28" spans="2:15" ht="12.75" x14ac:dyDescent="0.2">
      <c r="B28" s="86" t="s">
        <v>450</v>
      </c>
      <c r="C28" s="115">
        <v>45939</v>
      </c>
      <c r="D28" s="204">
        <v>0.15277777777777779</v>
      </c>
      <c r="E28" s="204">
        <v>0.20416666666666666</v>
      </c>
      <c r="F28" s="229">
        <f t="shared" ref="F28:F34" si="1">IF(D28="","",E28-D28)</f>
        <v>5.1388888888888873E-2</v>
      </c>
      <c r="G28" s="230" t="s">
        <v>458</v>
      </c>
      <c r="H28" s="88"/>
      <c r="I28" s="88"/>
      <c r="J28" s="88"/>
      <c r="K28" s="88"/>
      <c r="L28" s="88"/>
      <c r="M28" s="88"/>
      <c r="N28" s="86" t="s">
        <v>96</v>
      </c>
      <c r="O28" s="89"/>
    </row>
    <row r="29" spans="2:15" ht="12.75" x14ac:dyDescent="0.2">
      <c r="B29" s="86" t="s">
        <v>450</v>
      </c>
      <c r="C29" s="115">
        <v>45939</v>
      </c>
      <c r="D29" s="204">
        <v>0.20416666666666666</v>
      </c>
      <c r="E29" s="204">
        <v>0.21666666666666667</v>
      </c>
      <c r="F29" s="229">
        <f t="shared" si="1"/>
        <v>1.2500000000000011E-2</v>
      </c>
      <c r="G29" s="230" t="s">
        <v>453</v>
      </c>
      <c r="H29" s="88"/>
      <c r="I29" s="88"/>
      <c r="J29" s="88"/>
      <c r="K29" s="88"/>
      <c r="L29" s="88"/>
      <c r="M29" s="88"/>
      <c r="N29" s="86" t="s">
        <v>99</v>
      </c>
      <c r="O29" s="89"/>
    </row>
    <row r="30" spans="2:15" ht="12.75" x14ac:dyDescent="0.2">
      <c r="B30" s="86" t="s">
        <v>450</v>
      </c>
      <c r="C30" s="115">
        <v>45939</v>
      </c>
      <c r="D30" s="204">
        <v>0.21666666666666667</v>
      </c>
      <c r="E30" s="204">
        <v>0.22500000000000001</v>
      </c>
      <c r="F30" s="229">
        <f t="shared" si="1"/>
        <v>8.3333333333333315E-3</v>
      </c>
      <c r="G30" s="230" t="s">
        <v>137</v>
      </c>
      <c r="H30" s="88"/>
      <c r="I30" s="88"/>
      <c r="J30" s="88"/>
      <c r="K30" s="88"/>
      <c r="L30" s="88"/>
      <c r="M30" s="88"/>
      <c r="N30" s="86" t="s">
        <v>137</v>
      </c>
      <c r="O30" s="89"/>
    </row>
    <row r="31" spans="2:15" ht="12.75" x14ac:dyDescent="0.2">
      <c r="B31" s="86"/>
      <c r="C31" s="115"/>
      <c r="D31" s="204"/>
      <c r="E31" s="204"/>
      <c r="F31" s="229" t="str">
        <f t="shared" si="1"/>
        <v/>
      </c>
      <c r="G31" s="230"/>
      <c r="H31" s="88"/>
      <c r="I31" s="88"/>
      <c r="J31" s="88"/>
      <c r="K31" s="88"/>
      <c r="L31" s="88"/>
      <c r="M31" s="88"/>
      <c r="N31" s="86"/>
      <c r="O31" s="89"/>
    </row>
    <row r="32" spans="2:15" ht="12.75" x14ac:dyDescent="0.2">
      <c r="B32" s="86"/>
      <c r="C32" s="115"/>
      <c r="D32" s="204"/>
      <c r="E32" s="204"/>
      <c r="F32" s="229" t="str">
        <f t="shared" si="1"/>
        <v/>
      </c>
      <c r="G32" s="230"/>
      <c r="H32" s="88"/>
      <c r="I32" s="88"/>
      <c r="J32" s="88"/>
      <c r="K32" s="88"/>
      <c r="L32" s="88"/>
      <c r="M32" s="88"/>
      <c r="N32" s="86"/>
      <c r="O32" s="89"/>
    </row>
    <row r="33" spans="2:15" ht="12.75" x14ac:dyDescent="0.2">
      <c r="B33" s="86"/>
      <c r="C33" s="115"/>
      <c r="D33" s="204"/>
      <c r="E33" s="204"/>
      <c r="F33" s="229" t="str">
        <f t="shared" si="1"/>
        <v/>
      </c>
      <c r="G33" s="230"/>
      <c r="H33" s="88"/>
      <c r="I33" s="88"/>
      <c r="J33" s="88"/>
      <c r="K33" s="88"/>
      <c r="L33" s="88"/>
      <c r="M33" s="88"/>
      <c r="N33" s="86"/>
      <c r="O33" s="89"/>
    </row>
    <row r="34" spans="2:15" x14ac:dyDescent="0.2">
      <c r="B34" s="90"/>
      <c r="C34" s="208"/>
      <c r="D34" s="209"/>
      <c r="E34" s="211"/>
      <c r="F34" s="234" t="str">
        <f t="shared" si="1"/>
        <v/>
      </c>
      <c r="G34" s="91"/>
      <c r="H34" s="92"/>
      <c r="I34" s="92"/>
      <c r="J34" s="92"/>
      <c r="K34" s="92"/>
      <c r="L34" s="92"/>
      <c r="M34" s="92"/>
      <c r="N34" s="90"/>
      <c r="O34" s="93"/>
    </row>
    <row r="35" spans="2:15" x14ac:dyDescent="0.2">
      <c r="C35" s="34"/>
      <c r="D35" s="407" t="s">
        <v>57</v>
      </c>
      <c r="E35" s="408"/>
      <c r="F35" s="212">
        <f>SUM(F18:F34)</f>
        <v>0.30069444444444449</v>
      </c>
    </row>
    <row r="37" spans="2:15" x14ac:dyDescent="0.2">
      <c r="B37" s="308" t="s">
        <v>56</v>
      </c>
      <c r="C37" s="309"/>
      <c r="D37" s="309"/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O37" s="310"/>
    </row>
    <row r="38" spans="2:15" x14ac:dyDescent="0.2">
      <c r="B38" s="395" t="s">
        <v>5</v>
      </c>
      <c r="C38" s="395" t="s">
        <v>0</v>
      </c>
      <c r="D38" s="396" t="s">
        <v>44</v>
      </c>
      <c r="E38" s="396"/>
      <c r="F38" s="397" t="s">
        <v>6</v>
      </c>
      <c r="G38" s="311" t="s">
        <v>19</v>
      </c>
      <c r="H38" s="399"/>
      <c r="I38" s="399"/>
      <c r="J38" s="399"/>
      <c r="K38" s="399"/>
      <c r="L38" s="399"/>
      <c r="M38" s="312"/>
      <c r="N38" s="397" t="s">
        <v>45</v>
      </c>
      <c r="O38" s="397" t="s">
        <v>130</v>
      </c>
    </row>
    <row r="39" spans="2:15" x14ac:dyDescent="0.2">
      <c r="B39" s="395"/>
      <c r="C39" s="397"/>
      <c r="D39" s="80" t="s">
        <v>2</v>
      </c>
      <c r="E39" s="80" t="s">
        <v>3</v>
      </c>
      <c r="F39" s="398"/>
      <c r="G39" s="404"/>
      <c r="H39" s="405"/>
      <c r="I39" s="405"/>
      <c r="J39" s="405"/>
      <c r="K39" s="405"/>
      <c r="L39" s="405"/>
      <c r="M39" s="406"/>
      <c r="N39" s="398"/>
      <c r="O39" s="398"/>
    </row>
    <row r="40" spans="2:15" ht="12.75" x14ac:dyDescent="0.2">
      <c r="B40" s="83" t="s">
        <v>450</v>
      </c>
      <c r="C40" s="113">
        <v>45938</v>
      </c>
      <c r="D40" s="213">
        <v>0.97222222222222221</v>
      </c>
      <c r="E40" s="204">
        <v>0.97916666666666663</v>
      </c>
      <c r="F40" s="213">
        <f t="shared" ref="F40:F66" si="2">+E40-D40</f>
        <v>6.9444444444444198E-3</v>
      </c>
      <c r="G40" s="262" t="s">
        <v>470</v>
      </c>
      <c r="H40" s="88"/>
      <c r="I40" s="88"/>
      <c r="J40" s="88"/>
      <c r="K40" s="88"/>
      <c r="L40" s="88"/>
      <c r="M40" s="88"/>
      <c r="N40" s="44" t="s">
        <v>99</v>
      </c>
      <c r="O40" s="5"/>
    </row>
    <row r="41" spans="2:15" ht="12.75" x14ac:dyDescent="0.2">
      <c r="B41" s="86" t="s">
        <v>450</v>
      </c>
      <c r="C41" s="115">
        <v>45938</v>
      </c>
      <c r="D41" s="204">
        <v>0.99305555555555558</v>
      </c>
      <c r="E41" s="204">
        <v>1</v>
      </c>
      <c r="F41" s="204">
        <f t="shared" si="2"/>
        <v>6.9444444444444198E-3</v>
      </c>
      <c r="G41" s="262" t="s">
        <v>470</v>
      </c>
      <c r="H41" s="88"/>
      <c r="I41" s="88"/>
      <c r="J41" s="88"/>
      <c r="K41" s="88"/>
      <c r="L41" s="88"/>
      <c r="M41" s="88"/>
      <c r="N41" s="89" t="s">
        <v>99</v>
      </c>
      <c r="O41" s="6"/>
    </row>
    <row r="42" spans="2:15" ht="12.75" x14ac:dyDescent="0.2">
      <c r="B42" s="86" t="s">
        <v>450</v>
      </c>
      <c r="C42" s="115">
        <v>45938</v>
      </c>
      <c r="D42" s="204">
        <v>0.14930555555555555</v>
      </c>
      <c r="E42" s="204">
        <v>0.16666666666666666</v>
      </c>
      <c r="F42" s="204">
        <f t="shared" si="2"/>
        <v>1.7361111111111105E-2</v>
      </c>
      <c r="G42" s="262" t="s">
        <v>471</v>
      </c>
      <c r="H42" s="88"/>
      <c r="I42" s="88"/>
      <c r="J42" s="88"/>
      <c r="K42" s="88"/>
      <c r="L42" s="88"/>
      <c r="M42" s="88"/>
      <c r="N42" s="89" t="s">
        <v>97</v>
      </c>
      <c r="O42" s="6"/>
    </row>
    <row r="43" spans="2:15" ht="12.75" x14ac:dyDescent="0.2">
      <c r="B43" s="86" t="s">
        <v>450</v>
      </c>
      <c r="C43" s="115">
        <v>45938</v>
      </c>
      <c r="D43" s="204">
        <v>0.16666666666666666</v>
      </c>
      <c r="E43" s="204">
        <v>0.2013888888888889</v>
      </c>
      <c r="F43" s="204">
        <f t="shared" si="2"/>
        <v>3.4722222222222238E-2</v>
      </c>
      <c r="G43" s="262" t="s">
        <v>472</v>
      </c>
      <c r="H43" s="88"/>
      <c r="I43" s="88"/>
      <c r="J43" s="88"/>
      <c r="K43" s="88"/>
      <c r="L43" s="88"/>
      <c r="M43" s="88"/>
      <c r="N43" s="89" t="s">
        <v>96</v>
      </c>
      <c r="O43" s="6"/>
    </row>
    <row r="44" spans="2:15" ht="12.75" x14ac:dyDescent="0.2">
      <c r="B44" s="86" t="s">
        <v>450</v>
      </c>
      <c r="C44" s="115">
        <v>45938</v>
      </c>
      <c r="D44" s="204">
        <v>0.2013888888888889</v>
      </c>
      <c r="E44" s="204">
        <v>0.2048611111111111</v>
      </c>
      <c r="F44" s="204">
        <f t="shared" si="2"/>
        <v>3.4722222222222099E-3</v>
      </c>
      <c r="G44" s="262" t="s">
        <v>473</v>
      </c>
      <c r="H44" s="88"/>
      <c r="I44" s="88"/>
      <c r="J44" s="88"/>
      <c r="K44" s="88"/>
      <c r="L44" s="88"/>
      <c r="M44" s="88"/>
      <c r="N44" s="89" t="s">
        <v>98</v>
      </c>
      <c r="O44" s="6"/>
    </row>
    <row r="45" spans="2:15" ht="12.75" x14ac:dyDescent="0.2">
      <c r="B45" s="86" t="s">
        <v>450</v>
      </c>
      <c r="C45" s="115">
        <v>45938</v>
      </c>
      <c r="D45" s="204">
        <v>0.23958333333333334</v>
      </c>
      <c r="E45" s="204">
        <v>0.25</v>
      </c>
      <c r="F45" s="204">
        <f t="shared" si="2"/>
        <v>1.0416666666666657E-2</v>
      </c>
      <c r="G45" s="262" t="s">
        <v>474</v>
      </c>
      <c r="H45" s="88"/>
      <c r="I45" s="88"/>
      <c r="J45" s="88"/>
      <c r="K45" s="88"/>
      <c r="L45" s="88"/>
      <c r="M45" s="88"/>
      <c r="N45" s="89" t="s">
        <v>98</v>
      </c>
      <c r="O45" s="6"/>
    </row>
    <row r="46" spans="2:15" ht="12.75" x14ac:dyDescent="0.2">
      <c r="B46" s="86" t="s">
        <v>450</v>
      </c>
      <c r="C46" s="115">
        <v>45938</v>
      </c>
      <c r="D46" s="204">
        <v>0.25</v>
      </c>
      <c r="E46" s="204">
        <v>0.25694444444444442</v>
      </c>
      <c r="F46" s="204">
        <f t="shared" si="2"/>
        <v>6.9444444444444198E-3</v>
      </c>
      <c r="G46" s="262" t="s">
        <v>474</v>
      </c>
      <c r="H46" s="88"/>
      <c r="I46" s="88"/>
      <c r="J46" s="88"/>
      <c r="K46" s="88"/>
      <c r="L46" s="88"/>
      <c r="M46" s="88"/>
      <c r="N46" s="89" t="s">
        <v>98</v>
      </c>
      <c r="O46" s="6"/>
    </row>
    <row r="47" spans="2:15" ht="12.75" x14ac:dyDescent="0.2">
      <c r="B47" s="86" t="s">
        <v>452</v>
      </c>
      <c r="C47" s="115">
        <v>45939</v>
      </c>
      <c r="D47" s="204">
        <v>0.3888888888888889</v>
      </c>
      <c r="E47" s="204">
        <v>0.39930555555555558</v>
      </c>
      <c r="F47" s="204">
        <f t="shared" si="2"/>
        <v>1.0416666666666685E-2</v>
      </c>
      <c r="G47" s="262" t="s">
        <v>475</v>
      </c>
      <c r="H47" s="88"/>
      <c r="I47" s="88"/>
      <c r="J47" s="88"/>
      <c r="K47" s="88"/>
      <c r="L47" s="88"/>
      <c r="M47" s="88"/>
      <c r="N47" s="89" t="s">
        <v>99</v>
      </c>
      <c r="O47" s="6"/>
    </row>
    <row r="48" spans="2:15" ht="12.75" x14ac:dyDescent="0.2">
      <c r="B48" s="86" t="s">
        <v>452</v>
      </c>
      <c r="C48" s="115">
        <v>45939</v>
      </c>
      <c r="D48" s="204">
        <v>0.41666666666666669</v>
      </c>
      <c r="E48" s="204">
        <v>0.42708333333333331</v>
      </c>
      <c r="F48" s="204">
        <f t="shared" si="2"/>
        <v>1.041666666666663E-2</v>
      </c>
      <c r="G48" s="262" t="s">
        <v>475</v>
      </c>
      <c r="H48" s="88"/>
      <c r="I48" s="88"/>
      <c r="J48" s="88"/>
      <c r="K48" s="88"/>
      <c r="L48" s="88"/>
      <c r="M48" s="88"/>
      <c r="N48" s="89" t="s">
        <v>99</v>
      </c>
      <c r="O48" s="6"/>
    </row>
    <row r="49" spans="2:15" ht="12.75" x14ac:dyDescent="0.2">
      <c r="B49" s="86" t="s">
        <v>452</v>
      </c>
      <c r="C49" s="115">
        <v>45939</v>
      </c>
      <c r="D49" s="204">
        <v>0.46875</v>
      </c>
      <c r="E49" s="204">
        <v>0.49652777777777779</v>
      </c>
      <c r="F49" s="229">
        <f t="shared" si="2"/>
        <v>2.777777777777779E-2</v>
      </c>
      <c r="G49" s="262" t="s">
        <v>476</v>
      </c>
      <c r="H49" s="88"/>
      <c r="I49" s="88"/>
      <c r="J49" s="88"/>
      <c r="K49" s="88"/>
      <c r="L49" s="88"/>
      <c r="M49" s="88"/>
      <c r="N49" s="89" t="s">
        <v>97</v>
      </c>
      <c r="O49" s="6"/>
    </row>
    <row r="50" spans="2:15" ht="12.75" x14ac:dyDescent="0.2">
      <c r="B50" s="86" t="s">
        <v>452</v>
      </c>
      <c r="C50" s="115">
        <v>45939</v>
      </c>
      <c r="D50" s="204">
        <v>0.49652777777777779</v>
      </c>
      <c r="E50" s="204">
        <v>0.5</v>
      </c>
      <c r="F50" s="229">
        <f t="shared" si="2"/>
        <v>3.4722222222222099E-3</v>
      </c>
      <c r="G50" s="262" t="s">
        <v>475</v>
      </c>
      <c r="H50" s="88"/>
      <c r="I50" s="88"/>
      <c r="J50" s="88"/>
      <c r="K50" s="88"/>
      <c r="L50" s="88"/>
      <c r="M50" s="88"/>
      <c r="N50" s="89" t="s">
        <v>99</v>
      </c>
      <c r="O50" s="6"/>
    </row>
    <row r="51" spans="2:15" ht="12.75" x14ac:dyDescent="0.2">
      <c r="B51" s="86" t="s">
        <v>452</v>
      </c>
      <c r="C51" s="115">
        <v>45939</v>
      </c>
      <c r="D51" s="204">
        <v>0.5</v>
      </c>
      <c r="E51" s="204">
        <v>0.51041666666666663</v>
      </c>
      <c r="F51" s="229">
        <f t="shared" si="2"/>
        <v>1.041666666666663E-2</v>
      </c>
      <c r="G51" s="262" t="s">
        <v>475</v>
      </c>
      <c r="H51" s="88"/>
      <c r="I51" s="88"/>
      <c r="J51" s="88"/>
      <c r="K51" s="88"/>
      <c r="L51" s="88"/>
      <c r="M51" s="88"/>
      <c r="N51" s="89" t="s">
        <v>99</v>
      </c>
      <c r="O51" s="6"/>
    </row>
    <row r="52" spans="2:15" ht="12.75" x14ac:dyDescent="0.2">
      <c r="B52" s="86" t="s">
        <v>452</v>
      </c>
      <c r="C52" s="115">
        <v>45939</v>
      </c>
      <c r="D52" s="204">
        <v>0.54861111111111116</v>
      </c>
      <c r="E52" s="204">
        <v>0.58333333333333337</v>
      </c>
      <c r="F52" s="229">
        <f t="shared" si="2"/>
        <v>3.472222222222221E-2</v>
      </c>
      <c r="G52" s="262" t="s">
        <v>479</v>
      </c>
      <c r="H52" s="88"/>
      <c r="I52" s="88"/>
      <c r="J52" s="88"/>
      <c r="K52" s="88"/>
      <c r="L52" s="88"/>
      <c r="M52" s="88"/>
      <c r="N52" s="89" t="s">
        <v>97</v>
      </c>
      <c r="O52" s="6"/>
    </row>
    <row r="53" spans="2:15" ht="12.75" x14ac:dyDescent="0.2">
      <c r="B53" s="86" t="s">
        <v>452</v>
      </c>
      <c r="C53" s="115">
        <v>45939</v>
      </c>
      <c r="D53" s="204">
        <v>0.63541666666666663</v>
      </c>
      <c r="E53" s="204">
        <v>0.64583333333333337</v>
      </c>
      <c r="F53" s="229">
        <f t="shared" si="2"/>
        <v>1.0416666666666741E-2</v>
      </c>
      <c r="G53" s="262" t="s">
        <v>475</v>
      </c>
      <c r="H53" s="88"/>
      <c r="I53" s="88"/>
      <c r="J53" s="88"/>
      <c r="K53" s="88"/>
      <c r="L53" s="88"/>
      <c r="M53" s="88"/>
      <c r="N53" s="89" t="s">
        <v>99</v>
      </c>
      <c r="O53" s="6"/>
    </row>
    <row r="54" spans="2:15" ht="12.75" x14ac:dyDescent="0.2">
      <c r="B54" s="86" t="s">
        <v>452</v>
      </c>
      <c r="C54" s="115">
        <v>45939</v>
      </c>
      <c r="D54" s="204">
        <v>0.68055555555555558</v>
      </c>
      <c r="E54" s="204">
        <v>0.70833333333333337</v>
      </c>
      <c r="F54" s="229">
        <f t="shared" si="2"/>
        <v>2.777777777777779E-2</v>
      </c>
      <c r="G54" s="262" t="s">
        <v>478</v>
      </c>
      <c r="H54" s="88"/>
      <c r="I54" s="88"/>
      <c r="J54" s="88"/>
      <c r="K54" s="88"/>
      <c r="L54" s="88"/>
      <c r="M54" s="88"/>
      <c r="N54" s="89" t="s">
        <v>97</v>
      </c>
      <c r="O54" s="6"/>
    </row>
    <row r="55" spans="2:15" ht="12.75" x14ac:dyDescent="0.2">
      <c r="B55" s="86" t="s">
        <v>452</v>
      </c>
      <c r="C55" s="115">
        <v>45939</v>
      </c>
      <c r="D55" s="204">
        <v>0.70833333333333337</v>
      </c>
      <c r="E55" s="204">
        <v>0.71875</v>
      </c>
      <c r="F55" s="229">
        <f t="shared" si="2"/>
        <v>1.041666666666663E-2</v>
      </c>
      <c r="G55" s="262" t="s">
        <v>478</v>
      </c>
      <c r="H55" s="88"/>
      <c r="I55" s="88"/>
      <c r="J55" s="88"/>
      <c r="K55" s="88"/>
      <c r="L55" s="88"/>
      <c r="M55" s="88"/>
      <c r="N55" s="89" t="s">
        <v>97</v>
      </c>
      <c r="O55" s="6"/>
    </row>
    <row r="56" spans="2:15" ht="12.75" x14ac:dyDescent="0.2">
      <c r="B56" s="86" t="s">
        <v>450</v>
      </c>
      <c r="C56" s="115">
        <v>45939</v>
      </c>
      <c r="D56" s="204">
        <v>0.86111111111111116</v>
      </c>
      <c r="E56" s="204">
        <v>0.875</v>
      </c>
      <c r="F56" s="229">
        <f t="shared" si="2"/>
        <v>1.388888888888884E-2</v>
      </c>
      <c r="G56" s="262" t="s">
        <v>480</v>
      </c>
      <c r="H56" s="88"/>
      <c r="I56" s="88"/>
      <c r="J56" s="88"/>
      <c r="K56" s="88"/>
      <c r="L56" s="88"/>
      <c r="M56" s="88"/>
      <c r="N56" s="89" t="s">
        <v>97</v>
      </c>
      <c r="O56" s="6"/>
    </row>
    <row r="57" spans="2:15" ht="12.75" x14ac:dyDescent="0.2">
      <c r="B57" s="86" t="s">
        <v>450</v>
      </c>
      <c r="C57" s="115">
        <v>45939</v>
      </c>
      <c r="D57" s="204">
        <v>0.875</v>
      </c>
      <c r="E57" s="204">
        <v>0.88888888888888884</v>
      </c>
      <c r="F57" s="229">
        <f t="shared" si="2"/>
        <v>1.388888888888884E-2</v>
      </c>
      <c r="G57" s="262" t="s">
        <v>480</v>
      </c>
      <c r="H57" s="88"/>
      <c r="I57" s="88"/>
      <c r="J57" s="88"/>
      <c r="K57" s="88"/>
      <c r="L57" s="88"/>
      <c r="M57" s="88"/>
      <c r="N57" s="89" t="s">
        <v>97</v>
      </c>
      <c r="O57" s="6"/>
    </row>
    <row r="58" spans="2:15" x14ac:dyDescent="0.2">
      <c r="B58" s="86" t="s">
        <v>450</v>
      </c>
      <c r="C58" s="115">
        <v>45939</v>
      </c>
      <c r="D58" s="204">
        <v>0.88888888888888884</v>
      </c>
      <c r="E58" s="204">
        <v>0.89583333333333337</v>
      </c>
      <c r="F58" s="229">
        <f t="shared" si="2"/>
        <v>6.9444444444445308E-3</v>
      </c>
      <c r="G58" s="88" t="s">
        <v>473</v>
      </c>
      <c r="H58" s="88"/>
      <c r="I58" s="88"/>
      <c r="J58" s="88"/>
      <c r="K58" s="88"/>
      <c r="L58" s="88"/>
      <c r="M58" s="88"/>
      <c r="N58" s="89" t="s">
        <v>98</v>
      </c>
      <c r="O58" s="6"/>
    </row>
    <row r="59" spans="2:15" x14ac:dyDescent="0.2">
      <c r="B59" s="86" t="s">
        <v>450</v>
      </c>
      <c r="C59" s="115">
        <v>45939</v>
      </c>
      <c r="D59" s="204">
        <v>0.96527777777777779</v>
      </c>
      <c r="E59" s="204">
        <v>0.97222222222222221</v>
      </c>
      <c r="F59" s="229">
        <f t="shared" si="2"/>
        <v>6.9444444444444198E-3</v>
      </c>
      <c r="G59" s="88" t="s">
        <v>470</v>
      </c>
      <c r="H59" s="88"/>
      <c r="I59" s="88"/>
      <c r="J59" s="88"/>
      <c r="K59" s="88"/>
      <c r="L59" s="88"/>
      <c r="M59" s="88"/>
      <c r="N59" s="89" t="s">
        <v>99</v>
      </c>
      <c r="O59" s="6"/>
    </row>
    <row r="60" spans="2:15" x14ac:dyDescent="0.2">
      <c r="B60" s="86" t="s">
        <v>450</v>
      </c>
      <c r="C60" s="115">
        <v>45939</v>
      </c>
      <c r="D60" s="204">
        <v>0.97569444444444442</v>
      </c>
      <c r="E60" s="204">
        <v>0.97916666666666663</v>
      </c>
      <c r="F60" s="229">
        <f t="shared" si="2"/>
        <v>3.4722222222222099E-3</v>
      </c>
      <c r="G60" s="88" t="s">
        <v>470</v>
      </c>
      <c r="H60" s="88"/>
      <c r="I60" s="88"/>
      <c r="J60" s="88"/>
      <c r="K60" s="88"/>
      <c r="L60" s="88"/>
      <c r="M60" s="88"/>
      <c r="N60" s="89" t="s">
        <v>99</v>
      </c>
      <c r="O60" s="6"/>
    </row>
    <row r="61" spans="2:15" x14ac:dyDescent="0.2">
      <c r="B61" s="86" t="s">
        <v>450</v>
      </c>
      <c r="C61" s="115">
        <v>45939</v>
      </c>
      <c r="D61" s="204">
        <v>2.7777777777777776E-2</v>
      </c>
      <c r="E61" s="204">
        <v>4.1666666666666664E-2</v>
      </c>
      <c r="F61" s="229">
        <f t="shared" si="2"/>
        <v>1.3888888888888888E-2</v>
      </c>
      <c r="G61" s="88" t="s">
        <v>478</v>
      </c>
      <c r="H61" s="88"/>
      <c r="I61" s="88"/>
      <c r="J61" s="88"/>
      <c r="K61" s="88"/>
      <c r="L61" s="88"/>
      <c r="M61" s="88"/>
      <c r="N61" s="89" t="s">
        <v>97</v>
      </c>
      <c r="O61" s="6"/>
    </row>
    <row r="62" spans="2:15" x14ac:dyDescent="0.2">
      <c r="B62" s="86" t="s">
        <v>450</v>
      </c>
      <c r="C62" s="115">
        <v>45939</v>
      </c>
      <c r="D62" s="204">
        <v>4.1666666666666664E-2</v>
      </c>
      <c r="E62" s="204">
        <v>6.25E-2</v>
      </c>
      <c r="F62" s="229">
        <f t="shared" si="2"/>
        <v>2.0833333333333336E-2</v>
      </c>
      <c r="G62" s="88" t="s">
        <v>478</v>
      </c>
      <c r="H62" s="88"/>
      <c r="I62" s="88"/>
      <c r="J62" s="88"/>
      <c r="K62" s="88"/>
      <c r="L62" s="88"/>
      <c r="M62" s="88"/>
      <c r="N62" s="89" t="s">
        <v>97</v>
      </c>
      <c r="O62" s="6"/>
    </row>
    <row r="63" spans="2:15" x14ac:dyDescent="0.2">
      <c r="B63" s="86" t="s">
        <v>450</v>
      </c>
      <c r="C63" s="115">
        <v>45939</v>
      </c>
      <c r="D63" s="204">
        <v>6.25E-2</v>
      </c>
      <c r="E63" s="204">
        <v>6.9444444444444448E-2</v>
      </c>
      <c r="F63" s="229">
        <f t="shared" si="2"/>
        <v>6.9444444444444475E-3</v>
      </c>
      <c r="G63" s="88" t="s">
        <v>473</v>
      </c>
      <c r="H63" s="88"/>
      <c r="I63" s="88"/>
      <c r="J63" s="88"/>
      <c r="K63" s="88"/>
      <c r="L63" s="88"/>
      <c r="M63" s="88"/>
      <c r="N63" s="89" t="s">
        <v>98</v>
      </c>
      <c r="O63" s="6"/>
    </row>
    <row r="64" spans="2:15" x14ac:dyDescent="0.2">
      <c r="B64" s="86"/>
      <c r="C64" s="115"/>
      <c r="D64" s="204"/>
      <c r="E64" s="204"/>
      <c r="F64" s="229">
        <f t="shared" si="2"/>
        <v>0</v>
      </c>
      <c r="G64" s="88"/>
      <c r="H64" s="88"/>
      <c r="I64" s="88"/>
      <c r="J64" s="88"/>
      <c r="K64" s="88"/>
      <c r="L64" s="88"/>
      <c r="M64" s="88"/>
      <c r="N64" s="89"/>
      <c r="O64" s="6"/>
    </row>
    <row r="65" spans="2:15" x14ac:dyDescent="0.2">
      <c r="B65" s="86"/>
      <c r="C65" s="115"/>
      <c r="D65" s="204"/>
      <c r="E65" s="204"/>
      <c r="F65" s="229">
        <f t="shared" si="2"/>
        <v>0</v>
      </c>
      <c r="G65" s="88"/>
      <c r="H65" s="88"/>
      <c r="I65" s="88"/>
      <c r="J65" s="88"/>
      <c r="K65" s="88"/>
      <c r="L65" s="88"/>
      <c r="M65" s="88"/>
      <c r="N65" s="89"/>
      <c r="O65" s="6"/>
    </row>
    <row r="66" spans="2:15" x14ac:dyDescent="0.2">
      <c r="B66" s="90"/>
      <c r="C66" s="117"/>
      <c r="D66" s="211"/>
      <c r="E66" s="229"/>
      <c r="F66" s="229">
        <f t="shared" si="2"/>
        <v>0</v>
      </c>
      <c r="G66" s="91"/>
      <c r="H66" s="92"/>
      <c r="I66" s="92"/>
      <c r="J66" s="92"/>
      <c r="K66" s="92"/>
      <c r="L66" s="92"/>
      <c r="M66" s="92"/>
      <c r="N66" s="93"/>
      <c r="O66" s="7"/>
    </row>
    <row r="67" spans="2:15" x14ac:dyDescent="0.2">
      <c r="C67" s="34"/>
      <c r="D67" s="407" t="s">
        <v>57</v>
      </c>
      <c r="E67" s="408"/>
      <c r="F67" s="212">
        <f>SUM(F40:F66)</f>
        <v>0.31944444444444431</v>
      </c>
      <c r="G67" s="33">
        <f>F67*24</f>
        <v>7.6666666666666634</v>
      </c>
    </row>
    <row r="68" spans="2:15" x14ac:dyDescent="0.2">
      <c r="C68" s="34"/>
      <c r="D68" s="34"/>
      <c r="E68" s="34"/>
      <c r="F68" s="34"/>
    </row>
    <row r="69" spans="2:15" ht="12.75" customHeight="1" x14ac:dyDescent="0.2">
      <c r="B69" s="157" t="s">
        <v>90</v>
      </c>
      <c r="C69" s="158"/>
      <c r="D69" s="158"/>
      <c r="E69" s="158"/>
      <c r="F69" s="159"/>
      <c r="G69" s="81" t="str">
        <f>IF(Informe!$D$46="","",Informe!$D$46)</f>
        <v>BODEGA N°1</v>
      </c>
      <c r="H69" s="308" t="str">
        <f>IF(Informe!$D$47="","",(Informe!$D$47))</f>
        <v>EMBARQUE  - LOTE 25105</v>
      </c>
      <c r="I69" s="309"/>
      <c r="J69" s="309"/>
      <c r="K69" s="309"/>
      <c r="L69" s="309"/>
      <c r="M69" s="309"/>
      <c r="N69" s="8"/>
    </row>
    <row r="70" spans="2:15" x14ac:dyDescent="0.2">
      <c r="B70" s="395" t="s">
        <v>5</v>
      </c>
      <c r="C70" s="395" t="s">
        <v>0</v>
      </c>
      <c r="D70" s="396" t="s">
        <v>44</v>
      </c>
      <c r="E70" s="396"/>
      <c r="F70" s="397" t="s">
        <v>6</v>
      </c>
      <c r="G70" s="311" t="s">
        <v>19</v>
      </c>
      <c r="H70" s="399" t="s">
        <v>19</v>
      </c>
      <c r="I70" s="399"/>
      <c r="J70" s="399"/>
      <c r="K70" s="399"/>
      <c r="L70" s="399"/>
      <c r="M70" s="312"/>
      <c r="N70" s="397" t="s">
        <v>45</v>
      </c>
      <c r="O70" s="397" t="s">
        <v>130</v>
      </c>
    </row>
    <row r="71" spans="2:15" x14ac:dyDescent="0.2">
      <c r="B71" s="395"/>
      <c r="C71" s="395"/>
      <c r="D71" s="80" t="s">
        <v>2</v>
      </c>
      <c r="E71" s="80" t="s">
        <v>3</v>
      </c>
      <c r="F71" s="403"/>
      <c r="G71" s="404"/>
      <c r="H71" s="405"/>
      <c r="I71" s="405"/>
      <c r="J71" s="405"/>
      <c r="K71" s="405"/>
      <c r="L71" s="405"/>
      <c r="M71" s="406"/>
      <c r="N71" s="403"/>
      <c r="O71" s="403"/>
    </row>
    <row r="72" spans="2:15" ht="12.75" x14ac:dyDescent="0.2">
      <c r="B72" s="86" t="s">
        <v>452</v>
      </c>
      <c r="C72" s="115">
        <v>45939</v>
      </c>
      <c r="D72" s="204">
        <v>0.70833333333333337</v>
      </c>
      <c r="E72" s="204">
        <v>0.71875</v>
      </c>
      <c r="F72" s="229">
        <f t="shared" ref="F72:F75" si="3">+E72-D72</f>
        <v>1.041666666666663E-2</v>
      </c>
      <c r="G72" s="262" t="s">
        <v>478</v>
      </c>
      <c r="H72" s="88"/>
      <c r="I72" s="88"/>
      <c r="J72" s="88"/>
      <c r="K72" s="88"/>
      <c r="L72" s="88"/>
      <c r="M72" s="88"/>
      <c r="N72" s="89" t="s">
        <v>97</v>
      </c>
      <c r="O72" s="89"/>
    </row>
    <row r="73" spans="2:15" ht="12.75" x14ac:dyDescent="0.2">
      <c r="B73" s="86" t="s">
        <v>450</v>
      </c>
      <c r="C73" s="115">
        <v>45939</v>
      </c>
      <c r="D73" s="204">
        <v>0.86111111111111116</v>
      </c>
      <c r="E73" s="204">
        <v>0.875</v>
      </c>
      <c r="F73" s="229">
        <f t="shared" si="3"/>
        <v>1.388888888888884E-2</v>
      </c>
      <c r="G73" s="262" t="s">
        <v>480</v>
      </c>
      <c r="H73" s="88"/>
      <c r="I73" s="88"/>
      <c r="J73" s="88"/>
      <c r="K73" s="88"/>
      <c r="L73" s="88"/>
      <c r="M73" s="88"/>
      <c r="N73" s="89" t="s">
        <v>97</v>
      </c>
      <c r="O73" s="89"/>
    </row>
    <row r="74" spans="2:15" x14ac:dyDescent="0.2">
      <c r="B74" s="86" t="s">
        <v>450</v>
      </c>
      <c r="C74" s="115">
        <v>45939</v>
      </c>
      <c r="D74" s="204">
        <v>4.1666666666666664E-2</v>
      </c>
      <c r="E74" s="204">
        <v>6.25E-2</v>
      </c>
      <c r="F74" s="229">
        <f t="shared" si="3"/>
        <v>2.0833333333333336E-2</v>
      </c>
      <c r="G74" s="88" t="s">
        <v>478</v>
      </c>
      <c r="H74" s="88"/>
      <c r="I74" s="88"/>
      <c r="J74" s="88"/>
      <c r="K74" s="88"/>
      <c r="L74" s="88"/>
      <c r="M74" s="88"/>
      <c r="N74" s="89" t="s">
        <v>97</v>
      </c>
      <c r="O74" s="89"/>
    </row>
    <row r="75" spans="2:15" x14ac:dyDescent="0.2">
      <c r="B75" s="86" t="s">
        <v>450</v>
      </c>
      <c r="C75" s="115">
        <v>45939</v>
      </c>
      <c r="D75" s="204">
        <v>6.25E-2</v>
      </c>
      <c r="E75" s="204">
        <v>6.9444444444444448E-2</v>
      </c>
      <c r="F75" s="229">
        <f t="shared" si="3"/>
        <v>6.9444444444444475E-3</v>
      </c>
      <c r="G75" s="88" t="s">
        <v>473</v>
      </c>
      <c r="H75" s="88"/>
      <c r="I75" s="88"/>
      <c r="J75" s="88"/>
      <c r="K75" s="88"/>
      <c r="L75" s="88"/>
      <c r="M75" s="88"/>
      <c r="N75" s="89" t="s">
        <v>98</v>
      </c>
      <c r="O75" s="89"/>
    </row>
    <row r="76" spans="2:15" ht="12.75" x14ac:dyDescent="0.2">
      <c r="B76" s="86"/>
      <c r="C76" s="205"/>
      <c r="D76" s="207"/>
      <c r="E76" s="204"/>
      <c r="F76" s="229">
        <f t="shared" ref="F76:F78" si="4">+E76-D76</f>
        <v>0</v>
      </c>
      <c r="G76" s="230"/>
      <c r="H76" s="88"/>
      <c r="I76" s="88"/>
      <c r="J76" s="88"/>
      <c r="K76" s="88"/>
      <c r="L76" s="88"/>
      <c r="M76" s="88"/>
      <c r="N76" s="89"/>
      <c r="O76" s="89"/>
    </row>
    <row r="77" spans="2:15" ht="12.75" x14ac:dyDescent="0.2">
      <c r="B77" s="86"/>
      <c r="C77" s="205"/>
      <c r="D77" s="207"/>
      <c r="E77" s="204"/>
      <c r="F77" s="229">
        <f t="shared" si="4"/>
        <v>0</v>
      </c>
      <c r="G77" s="230"/>
      <c r="H77" s="88"/>
      <c r="I77" s="88"/>
      <c r="J77" s="88"/>
      <c r="K77" s="88"/>
      <c r="L77" s="88"/>
      <c r="M77" s="88"/>
      <c r="N77" s="89"/>
      <c r="O77" s="89"/>
    </row>
    <row r="78" spans="2:15" ht="12.75" x14ac:dyDescent="0.2">
      <c r="B78" s="86"/>
      <c r="C78" s="205"/>
      <c r="D78" s="207"/>
      <c r="E78" s="204"/>
      <c r="F78" s="229">
        <f t="shared" si="4"/>
        <v>0</v>
      </c>
      <c r="G78" s="230"/>
      <c r="H78" s="88"/>
      <c r="I78" s="88"/>
      <c r="J78" s="88"/>
      <c r="K78" s="88"/>
      <c r="L78" s="88"/>
      <c r="M78" s="88"/>
      <c r="N78" s="89"/>
      <c r="O78" s="89"/>
    </row>
    <row r="79" spans="2:15" ht="12.75" x14ac:dyDescent="0.2">
      <c r="B79" s="86"/>
      <c r="C79" s="205"/>
      <c r="D79" s="252"/>
      <c r="E79" s="233"/>
      <c r="F79" s="229">
        <f t="shared" ref="F79:F83" si="5">+E79-D79</f>
        <v>0</v>
      </c>
      <c r="G79" s="230"/>
      <c r="H79" s="88"/>
      <c r="I79" s="88"/>
      <c r="J79" s="88"/>
      <c r="K79" s="88"/>
      <c r="L79" s="88"/>
      <c r="M79" s="88"/>
      <c r="N79" s="89"/>
      <c r="O79" s="89"/>
    </row>
    <row r="80" spans="2:15" ht="12.75" x14ac:dyDescent="0.2">
      <c r="B80" s="86"/>
      <c r="C80" s="205"/>
      <c r="D80" s="252"/>
      <c r="E80" s="233"/>
      <c r="F80" s="229">
        <f t="shared" si="5"/>
        <v>0</v>
      </c>
      <c r="G80" s="230"/>
      <c r="H80" s="88"/>
      <c r="I80" s="88"/>
      <c r="J80" s="88"/>
      <c r="K80" s="88"/>
      <c r="L80" s="88"/>
      <c r="M80" s="88"/>
      <c r="N80" s="89"/>
      <c r="O80" s="89"/>
    </row>
    <row r="81" spans="2:15" ht="12.75" x14ac:dyDescent="0.2">
      <c r="B81" s="86"/>
      <c r="C81" s="205"/>
      <c r="D81" s="252"/>
      <c r="E81" s="233"/>
      <c r="F81" s="229">
        <f t="shared" si="5"/>
        <v>0</v>
      </c>
      <c r="G81" s="230"/>
      <c r="H81" s="88"/>
      <c r="I81" s="88"/>
      <c r="J81" s="88"/>
      <c r="K81" s="88"/>
      <c r="L81" s="88"/>
      <c r="M81" s="88"/>
      <c r="N81" s="89"/>
      <c r="O81" s="89"/>
    </row>
    <row r="82" spans="2:15" ht="12.75" x14ac:dyDescent="0.2">
      <c r="B82" s="86"/>
      <c r="C82" s="205"/>
      <c r="D82" s="252"/>
      <c r="E82" s="233"/>
      <c r="F82" s="229">
        <f t="shared" si="5"/>
        <v>0</v>
      </c>
      <c r="G82" s="230"/>
      <c r="H82" s="88"/>
      <c r="I82" s="88"/>
      <c r="J82" s="88"/>
      <c r="K82" s="88"/>
      <c r="L82" s="88"/>
      <c r="M82" s="88"/>
      <c r="N82" s="89"/>
      <c r="O82" s="89"/>
    </row>
    <row r="83" spans="2:15" ht="12.75" x14ac:dyDescent="0.2">
      <c r="B83" s="90"/>
      <c r="C83" s="208"/>
      <c r="D83" s="253"/>
      <c r="E83" s="254"/>
      <c r="F83" s="229">
        <f t="shared" si="5"/>
        <v>0</v>
      </c>
      <c r="G83" s="255"/>
      <c r="H83" s="92"/>
      <c r="I83" s="92"/>
      <c r="J83" s="92"/>
      <c r="K83" s="92"/>
      <c r="L83" s="92"/>
      <c r="M83" s="92"/>
      <c r="N83" s="93"/>
      <c r="O83" s="93"/>
    </row>
    <row r="84" spans="2:15" x14ac:dyDescent="0.2">
      <c r="C84" s="34"/>
      <c r="D84" s="407" t="s">
        <v>57</v>
      </c>
      <c r="E84" s="408"/>
      <c r="F84" s="212">
        <f>SUM(F72:F83)</f>
        <v>5.2083333333333252E-2</v>
      </c>
    </row>
    <row r="85" spans="2:15" x14ac:dyDescent="0.2">
      <c r="C85" s="34"/>
      <c r="D85" s="34"/>
      <c r="E85" s="34"/>
      <c r="F85" s="34"/>
    </row>
    <row r="86" spans="2:15" x14ac:dyDescent="0.2">
      <c r="B86" s="308" t="s">
        <v>90</v>
      </c>
      <c r="C86" s="309"/>
      <c r="D86" s="309"/>
      <c r="E86" s="309"/>
      <c r="F86" s="309"/>
      <c r="G86" s="81" t="str">
        <f>IF(Informe!$F$46="","",Informe!$F$46)</f>
        <v>BODEGA N°2</v>
      </c>
      <c r="H86" s="309" t="str">
        <f>IF(Informe!$F$47="","",(Informe!$F$47))</f>
        <v>EMBARQUE - LOTE 25106</v>
      </c>
      <c r="I86" s="309"/>
      <c r="J86" s="309"/>
      <c r="K86" s="309"/>
      <c r="L86" s="309"/>
      <c r="M86" s="309"/>
      <c r="N86" s="8"/>
    </row>
    <row r="87" spans="2:15" x14ac:dyDescent="0.2">
      <c r="B87" s="395" t="s">
        <v>5</v>
      </c>
      <c r="C87" s="395" t="s">
        <v>0</v>
      </c>
      <c r="D87" s="396" t="s">
        <v>44</v>
      </c>
      <c r="E87" s="396"/>
      <c r="F87" s="397" t="s">
        <v>6</v>
      </c>
      <c r="G87" s="311" t="s">
        <v>19</v>
      </c>
      <c r="H87" s="399" t="s">
        <v>19</v>
      </c>
      <c r="I87" s="399"/>
      <c r="J87" s="399"/>
      <c r="K87" s="399"/>
      <c r="L87" s="399"/>
      <c r="M87" s="312"/>
      <c r="N87" s="397" t="s">
        <v>45</v>
      </c>
      <c r="O87" s="397" t="s">
        <v>130</v>
      </c>
    </row>
    <row r="88" spans="2:15" x14ac:dyDescent="0.2">
      <c r="B88" s="395"/>
      <c r="C88" s="395"/>
      <c r="D88" s="80" t="s">
        <v>2</v>
      </c>
      <c r="E88" s="80" t="s">
        <v>3</v>
      </c>
      <c r="F88" s="403"/>
      <c r="G88" s="404"/>
      <c r="H88" s="405"/>
      <c r="I88" s="405"/>
      <c r="J88" s="405"/>
      <c r="K88" s="405"/>
      <c r="L88" s="405"/>
      <c r="M88" s="406"/>
      <c r="N88" s="403"/>
      <c r="O88" s="403"/>
    </row>
    <row r="89" spans="2:15" ht="12.75" x14ac:dyDescent="0.2">
      <c r="B89" s="86" t="s">
        <v>450</v>
      </c>
      <c r="C89" s="115">
        <v>45939</v>
      </c>
      <c r="D89" s="204">
        <v>0.16666666666666666</v>
      </c>
      <c r="E89" s="204">
        <v>0.2013888888888889</v>
      </c>
      <c r="F89" s="204">
        <f t="shared" ref="F89:F96" si="6">+E89-D89</f>
        <v>3.4722222222222238E-2</v>
      </c>
      <c r="G89" s="262" t="s">
        <v>472</v>
      </c>
      <c r="H89" s="88"/>
      <c r="I89" s="88"/>
      <c r="J89" s="88"/>
      <c r="K89" s="88"/>
      <c r="L89" s="88"/>
      <c r="M89" s="88"/>
      <c r="N89" s="89" t="s">
        <v>96</v>
      </c>
      <c r="O89" s="44"/>
    </row>
    <row r="90" spans="2:15" ht="12.75" x14ac:dyDescent="0.2">
      <c r="B90" s="86" t="s">
        <v>450</v>
      </c>
      <c r="C90" s="115">
        <v>45939</v>
      </c>
      <c r="D90" s="204">
        <v>0.2013888888888889</v>
      </c>
      <c r="E90" s="204">
        <v>0.2048611111111111</v>
      </c>
      <c r="F90" s="204">
        <f t="shared" si="6"/>
        <v>3.4722222222222099E-3</v>
      </c>
      <c r="G90" s="262" t="s">
        <v>473</v>
      </c>
      <c r="H90" s="88"/>
      <c r="I90" s="88"/>
      <c r="J90" s="88"/>
      <c r="K90" s="88"/>
      <c r="L90" s="88"/>
      <c r="M90" s="88"/>
      <c r="N90" s="89" t="s">
        <v>98</v>
      </c>
      <c r="O90" s="89"/>
    </row>
    <row r="91" spans="2:15" ht="12.75" x14ac:dyDescent="0.2">
      <c r="B91" s="86" t="s">
        <v>450</v>
      </c>
      <c r="C91" s="115">
        <v>45939</v>
      </c>
      <c r="D91" s="204">
        <v>0.23958333333333334</v>
      </c>
      <c r="E91" s="204">
        <v>0.25</v>
      </c>
      <c r="F91" s="204">
        <f t="shared" si="6"/>
        <v>1.0416666666666657E-2</v>
      </c>
      <c r="G91" s="262" t="s">
        <v>474</v>
      </c>
      <c r="H91" s="88"/>
      <c r="I91" s="88"/>
      <c r="J91" s="88"/>
      <c r="K91" s="88"/>
      <c r="L91" s="88"/>
      <c r="M91" s="88"/>
      <c r="N91" s="89" t="s">
        <v>98</v>
      </c>
      <c r="O91" s="89"/>
    </row>
    <row r="92" spans="2:15" ht="12.75" x14ac:dyDescent="0.2">
      <c r="B92" s="86" t="s">
        <v>450</v>
      </c>
      <c r="C92" s="115">
        <v>45939</v>
      </c>
      <c r="D92" s="204">
        <v>0.25</v>
      </c>
      <c r="E92" s="204">
        <v>0.25694444444444442</v>
      </c>
      <c r="F92" s="204">
        <f t="shared" si="6"/>
        <v>6.9444444444444198E-3</v>
      </c>
      <c r="G92" s="262" t="s">
        <v>474</v>
      </c>
      <c r="H92" s="88"/>
      <c r="I92" s="88"/>
      <c r="J92" s="88"/>
      <c r="K92" s="88"/>
      <c r="L92" s="88"/>
      <c r="M92" s="88"/>
      <c r="N92" s="89" t="s">
        <v>98</v>
      </c>
      <c r="O92" s="89"/>
    </row>
    <row r="93" spans="2:15" ht="12.75" x14ac:dyDescent="0.2">
      <c r="B93" s="86" t="s">
        <v>450</v>
      </c>
      <c r="C93" s="115">
        <v>45939</v>
      </c>
      <c r="D93" s="204">
        <v>0.3888888888888889</v>
      </c>
      <c r="E93" s="204">
        <v>0.39930555555555558</v>
      </c>
      <c r="F93" s="204">
        <f t="shared" si="6"/>
        <v>1.0416666666666685E-2</v>
      </c>
      <c r="G93" s="262" t="s">
        <v>475</v>
      </c>
      <c r="H93" s="88"/>
      <c r="I93" s="88"/>
      <c r="J93" s="88"/>
      <c r="K93" s="88"/>
      <c r="L93" s="88"/>
      <c r="M93" s="88"/>
      <c r="N93" s="89" t="s">
        <v>99</v>
      </c>
      <c r="O93" s="89"/>
    </row>
    <row r="94" spans="2:15" ht="12.75" x14ac:dyDescent="0.2">
      <c r="B94" s="86" t="s">
        <v>450</v>
      </c>
      <c r="C94" s="115">
        <v>45939</v>
      </c>
      <c r="D94" s="204">
        <v>0.41666666666666669</v>
      </c>
      <c r="E94" s="204">
        <v>0.42708333333333331</v>
      </c>
      <c r="F94" s="204">
        <f t="shared" si="6"/>
        <v>1.041666666666663E-2</v>
      </c>
      <c r="G94" s="262" t="s">
        <v>475</v>
      </c>
      <c r="H94" s="88"/>
      <c r="I94" s="88"/>
      <c r="J94" s="88"/>
      <c r="K94" s="88"/>
      <c r="L94" s="88"/>
      <c r="M94" s="88"/>
      <c r="N94" s="89" t="s">
        <v>99</v>
      </c>
      <c r="O94" s="89"/>
    </row>
    <row r="95" spans="2:15" ht="12.75" x14ac:dyDescent="0.2">
      <c r="B95" s="86" t="s">
        <v>450</v>
      </c>
      <c r="C95" s="115">
        <v>45939</v>
      </c>
      <c r="D95" s="204">
        <v>0.46875</v>
      </c>
      <c r="E95" s="204">
        <v>0.49652777777777779</v>
      </c>
      <c r="F95" s="229">
        <f t="shared" si="6"/>
        <v>2.777777777777779E-2</v>
      </c>
      <c r="G95" s="262" t="s">
        <v>476</v>
      </c>
      <c r="H95" s="88"/>
      <c r="I95" s="88"/>
      <c r="J95" s="88"/>
      <c r="K95" s="88"/>
      <c r="L95" s="88"/>
      <c r="M95" s="88"/>
      <c r="N95" s="89" t="s">
        <v>97</v>
      </c>
      <c r="O95" s="89"/>
    </row>
    <row r="96" spans="2:15" ht="12.75" x14ac:dyDescent="0.2">
      <c r="B96" s="86" t="s">
        <v>450</v>
      </c>
      <c r="C96" s="115">
        <v>45939</v>
      </c>
      <c r="D96" s="204">
        <v>0.49652777777777779</v>
      </c>
      <c r="E96" s="204">
        <v>0.5</v>
      </c>
      <c r="F96" s="229">
        <f t="shared" si="6"/>
        <v>3.4722222222222099E-3</v>
      </c>
      <c r="G96" s="262" t="s">
        <v>475</v>
      </c>
      <c r="H96" s="88"/>
      <c r="I96" s="88"/>
      <c r="J96" s="88"/>
      <c r="K96" s="88"/>
      <c r="L96" s="88"/>
      <c r="M96" s="88"/>
      <c r="N96" s="89" t="s">
        <v>99</v>
      </c>
      <c r="O96" s="89"/>
    </row>
    <row r="97" spans="2:15" x14ac:dyDescent="0.2">
      <c r="B97" s="86"/>
      <c r="C97" s="205"/>
      <c r="D97" s="206"/>
      <c r="E97" s="207"/>
      <c r="F97" s="204">
        <f t="shared" ref="F97:F103" si="7">E97-D97</f>
        <v>0</v>
      </c>
      <c r="G97" s="87"/>
      <c r="H97" s="88"/>
      <c r="I97" s="88"/>
      <c r="J97" s="88"/>
      <c r="K97" s="88"/>
      <c r="L97" s="88"/>
      <c r="M97" s="95"/>
      <c r="N97" s="89"/>
      <c r="O97" s="89"/>
    </row>
    <row r="98" spans="2:15" x14ac:dyDescent="0.2">
      <c r="B98" s="86"/>
      <c r="C98" s="205"/>
      <c r="D98" s="206"/>
      <c r="E98" s="207"/>
      <c r="F98" s="204">
        <f t="shared" si="7"/>
        <v>0</v>
      </c>
      <c r="G98" s="87"/>
      <c r="H98" s="88"/>
      <c r="I98" s="88"/>
      <c r="J98" s="88"/>
      <c r="K98" s="88"/>
      <c r="L98" s="88"/>
      <c r="M98" s="95"/>
      <c r="N98" s="89"/>
      <c r="O98" s="89"/>
    </row>
    <row r="99" spans="2:15" x14ac:dyDescent="0.2">
      <c r="B99" s="86"/>
      <c r="C99" s="205"/>
      <c r="D99" s="206"/>
      <c r="E99" s="207"/>
      <c r="F99" s="204">
        <f t="shared" si="7"/>
        <v>0</v>
      </c>
      <c r="G99" s="87"/>
      <c r="H99" s="88"/>
      <c r="I99" s="88"/>
      <c r="J99" s="88"/>
      <c r="K99" s="88"/>
      <c r="L99" s="88"/>
      <c r="M99" s="95"/>
      <c r="N99" s="89"/>
      <c r="O99" s="89"/>
    </row>
    <row r="100" spans="2:15" x14ac:dyDescent="0.2">
      <c r="B100" s="86"/>
      <c r="C100" s="205"/>
      <c r="D100" s="206"/>
      <c r="E100" s="207"/>
      <c r="F100" s="204">
        <f t="shared" si="7"/>
        <v>0</v>
      </c>
      <c r="G100" s="87"/>
      <c r="H100" s="88"/>
      <c r="I100" s="88"/>
      <c r="J100" s="88"/>
      <c r="K100" s="88"/>
      <c r="L100" s="88"/>
      <c r="M100" s="95"/>
      <c r="N100" s="89"/>
      <c r="O100" s="89"/>
    </row>
    <row r="101" spans="2:15" x14ac:dyDescent="0.2">
      <c r="B101" s="86"/>
      <c r="C101" s="205"/>
      <c r="D101" s="206"/>
      <c r="E101" s="207"/>
      <c r="F101" s="204">
        <f t="shared" si="7"/>
        <v>0</v>
      </c>
      <c r="G101" s="87"/>
      <c r="H101" s="88"/>
      <c r="I101" s="88"/>
      <c r="J101" s="88"/>
      <c r="K101" s="88"/>
      <c r="L101" s="88"/>
      <c r="M101" s="95"/>
      <c r="N101" s="89"/>
      <c r="O101" s="89"/>
    </row>
    <row r="102" spans="2:15" x14ac:dyDescent="0.2">
      <c r="B102" s="86"/>
      <c r="C102" s="205"/>
      <c r="D102" s="206"/>
      <c r="E102" s="207"/>
      <c r="F102" s="204">
        <f t="shared" si="7"/>
        <v>0</v>
      </c>
      <c r="G102" s="87"/>
      <c r="H102" s="88"/>
      <c r="I102" s="88"/>
      <c r="J102" s="88"/>
      <c r="K102" s="88"/>
      <c r="L102" s="88"/>
      <c r="M102" s="95"/>
      <c r="N102" s="89"/>
      <c r="O102" s="89"/>
    </row>
    <row r="103" spans="2:15" x14ac:dyDescent="0.2">
      <c r="B103" s="86"/>
      <c r="C103" s="205"/>
      <c r="D103" s="206"/>
      <c r="E103" s="207"/>
      <c r="F103" s="204">
        <f t="shared" si="7"/>
        <v>0</v>
      </c>
      <c r="G103" s="87"/>
      <c r="H103" s="88"/>
      <c r="I103" s="88"/>
      <c r="J103" s="88"/>
      <c r="K103" s="88"/>
      <c r="L103" s="88"/>
      <c r="M103" s="95"/>
      <c r="N103" s="89"/>
      <c r="O103" s="89"/>
    </row>
    <row r="104" spans="2:15" x14ac:dyDescent="0.2">
      <c r="B104" s="86"/>
      <c r="C104" s="205"/>
      <c r="D104" s="206"/>
      <c r="E104" s="207"/>
      <c r="F104" s="204">
        <f>E104-D104</f>
        <v>0</v>
      </c>
      <c r="G104" s="87"/>
      <c r="H104" s="88"/>
      <c r="I104" s="88"/>
      <c r="J104" s="88"/>
      <c r="K104" s="88"/>
      <c r="L104" s="88"/>
      <c r="M104" s="95"/>
      <c r="N104" s="89"/>
      <c r="O104" s="89"/>
    </row>
    <row r="105" spans="2:15" x14ac:dyDescent="0.2">
      <c r="B105" s="90"/>
      <c r="C105" s="208"/>
      <c r="D105" s="209"/>
      <c r="E105" s="210"/>
      <c r="F105" s="211">
        <f>E105-D105</f>
        <v>0</v>
      </c>
      <c r="G105" s="91"/>
      <c r="H105" s="92"/>
      <c r="I105" s="92"/>
      <c r="J105" s="92"/>
      <c r="K105" s="92"/>
      <c r="L105" s="92"/>
      <c r="M105" s="96"/>
      <c r="N105" s="93"/>
      <c r="O105" s="93"/>
    </row>
    <row r="106" spans="2:15" x14ac:dyDescent="0.2">
      <c r="C106" s="34"/>
      <c r="D106" s="308" t="s">
        <v>57</v>
      </c>
      <c r="E106" s="310"/>
      <c r="F106" s="212">
        <f>SUM(F89:F105)</f>
        <v>0.10763888888888884</v>
      </c>
    </row>
    <row r="107" spans="2:15" x14ac:dyDescent="0.2">
      <c r="C107" s="34"/>
      <c r="D107" s="34"/>
      <c r="E107" s="34"/>
      <c r="F107" s="34"/>
    </row>
    <row r="108" spans="2:15" x14ac:dyDescent="0.2">
      <c r="B108" s="417" t="s">
        <v>90</v>
      </c>
      <c r="C108" s="415"/>
      <c r="D108" s="415"/>
      <c r="E108" s="415"/>
      <c r="F108" s="415"/>
      <c r="G108" s="99" t="str">
        <f>IF(Informe!$H$46="","",Informe!$H$46)</f>
        <v>BODEGA N°3</v>
      </c>
      <c r="H108" s="415" t="str">
        <f>IF(Informe!$H$47="","",(Informe!$H$47))</f>
        <v xml:space="preserve">EMBARQUE </v>
      </c>
      <c r="I108" s="415"/>
      <c r="J108" s="415"/>
      <c r="K108" s="415"/>
      <c r="L108" s="415"/>
      <c r="M108" s="415"/>
      <c r="N108" s="231"/>
    </row>
    <row r="109" spans="2:15" x14ac:dyDescent="0.2">
      <c r="B109" s="395" t="s">
        <v>5</v>
      </c>
      <c r="C109" s="395" t="s">
        <v>0</v>
      </c>
      <c r="D109" s="396" t="s">
        <v>44</v>
      </c>
      <c r="E109" s="396"/>
      <c r="F109" s="397" t="s">
        <v>6</v>
      </c>
      <c r="G109" s="311" t="s">
        <v>19</v>
      </c>
      <c r="H109" s="399" t="s">
        <v>19</v>
      </c>
      <c r="I109" s="399"/>
      <c r="J109" s="399"/>
      <c r="K109" s="399"/>
      <c r="L109" s="399"/>
      <c r="M109" s="312"/>
      <c r="N109" s="397" t="s">
        <v>45</v>
      </c>
      <c r="O109" s="397" t="s">
        <v>130</v>
      </c>
    </row>
    <row r="110" spans="2:15" x14ac:dyDescent="0.2">
      <c r="B110" s="395"/>
      <c r="C110" s="395"/>
      <c r="D110" s="80" t="s">
        <v>2</v>
      </c>
      <c r="E110" s="80" t="s">
        <v>3</v>
      </c>
      <c r="F110" s="403"/>
      <c r="G110" s="404"/>
      <c r="H110" s="405"/>
      <c r="I110" s="405"/>
      <c r="J110" s="405"/>
      <c r="K110" s="405"/>
      <c r="L110" s="405"/>
      <c r="M110" s="406"/>
      <c r="N110" s="403"/>
      <c r="O110" s="403"/>
    </row>
    <row r="111" spans="2:15" ht="12.75" x14ac:dyDescent="0.2">
      <c r="B111" s="86"/>
      <c r="C111" s="115"/>
      <c r="D111" s="207"/>
      <c r="E111" s="204"/>
      <c r="F111" s="204">
        <f t="shared" ref="F111" si="8">+E111-D111</f>
        <v>0</v>
      </c>
      <c r="G111" s="230"/>
      <c r="H111" s="88"/>
      <c r="I111" s="88"/>
      <c r="J111" s="88"/>
      <c r="K111" s="88"/>
      <c r="L111" s="88"/>
      <c r="M111" s="88"/>
      <c r="N111" s="89"/>
      <c r="O111" s="89"/>
    </row>
    <row r="112" spans="2:15" ht="12.75" x14ac:dyDescent="0.2">
      <c r="B112" s="86"/>
      <c r="C112" s="115"/>
      <c r="D112" s="207"/>
      <c r="E112" s="204"/>
      <c r="F112" s="229">
        <f t="shared" ref="F112" si="9">+E112-D112</f>
        <v>0</v>
      </c>
      <c r="G112" s="260"/>
      <c r="H112" s="88"/>
      <c r="I112" s="88"/>
      <c r="J112" s="88"/>
      <c r="K112" s="88"/>
      <c r="L112" s="88"/>
      <c r="M112" s="88"/>
      <c r="N112" s="89"/>
      <c r="O112" s="89"/>
    </row>
    <row r="113" spans="2:15" x14ac:dyDescent="0.2">
      <c r="B113" s="86"/>
      <c r="C113" s="205"/>
      <c r="D113" s="207"/>
      <c r="E113" s="204"/>
      <c r="F113" s="229">
        <f t="shared" ref="F113:F114" si="10">+E113-D113</f>
        <v>0</v>
      </c>
      <c r="G113" s="88"/>
      <c r="H113" s="88"/>
      <c r="I113" s="88"/>
      <c r="J113" s="88"/>
      <c r="K113" s="88"/>
      <c r="L113" s="88"/>
      <c r="M113" s="88"/>
      <c r="N113" s="89"/>
      <c r="O113" s="89"/>
    </row>
    <row r="114" spans="2:15" x14ac:dyDescent="0.2">
      <c r="B114" s="86"/>
      <c r="C114" s="205"/>
      <c r="D114" s="207"/>
      <c r="E114" s="204"/>
      <c r="F114" s="229">
        <f t="shared" si="10"/>
        <v>0</v>
      </c>
      <c r="G114" s="88"/>
      <c r="H114" s="88"/>
      <c r="I114" s="88"/>
      <c r="J114" s="88"/>
      <c r="K114" s="88"/>
      <c r="L114" s="88"/>
      <c r="M114" s="88"/>
      <c r="N114" s="89"/>
      <c r="O114" s="89"/>
    </row>
    <row r="115" spans="2:15" ht="12.75" x14ac:dyDescent="0.2">
      <c r="B115" s="86"/>
      <c r="C115" s="115"/>
      <c r="D115" s="207"/>
      <c r="E115" s="232"/>
      <c r="F115" s="229">
        <f t="shared" ref="F115:F116" si="11">+E115-D115</f>
        <v>0</v>
      </c>
      <c r="G115" s="230"/>
      <c r="H115" s="88"/>
      <c r="I115" s="88"/>
      <c r="J115" s="88"/>
      <c r="K115" s="88"/>
      <c r="L115" s="88"/>
      <c r="M115" s="95"/>
      <c r="N115" s="86"/>
      <c r="O115" s="89"/>
    </row>
    <row r="116" spans="2:15" ht="12.75" hidden="1" x14ac:dyDescent="0.2">
      <c r="B116" s="86"/>
      <c r="C116" s="115"/>
      <c r="D116" s="207"/>
      <c r="E116" s="232"/>
      <c r="F116" s="229">
        <f t="shared" si="11"/>
        <v>0</v>
      </c>
      <c r="G116" s="230"/>
      <c r="H116" s="88"/>
      <c r="I116" s="88"/>
      <c r="J116" s="88"/>
      <c r="K116" s="88"/>
      <c r="L116" s="88"/>
      <c r="M116" s="95"/>
      <c r="N116" s="86"/>
      <c r="O116" s="89"/>
    </row>
    <row r="117" spans="2:15" ht="12.75" hidden="1" x14ac:dyDescent="0.2">
      <c r="B117" s="86"/>
      <c r="C117" s="115"/>
      <c r="D117" s="207"/>
      <c r="E117" s="232"/>
      <c r="F117" s="204">
        <f t="shared" ref="F117:F131" si="12">E117-D117</f>
        <v>0</v>
      </c>
      <c r="G117" s="230"/>
      <c r="H117" s="88"/>
      <c r="I117" s="88"/>
      <c r="J117" s="88"/>
      <c r="K117" s="88"/>
      <c r="L117" s="88"/>
      <c r="M117" s="95"/>
      <c r="N117" s="89"/>
      <c r="O117" s="89"/>
    </row>
    <row r="118" spans="2:15" ht="12.75" hidden="1" x14ac:dyDescent="0.2">
      <c r="B118" s="86"/>
      <c r="C118" s="205"/>
      <c r="D118" s="206"/>
      <c r="E118" s="232"/>
      <c r="F118" s="204">
        <f t="shared" si="12"/>
        <v>0</v>
      </c>
      <c r="G118" s="230"/>
      <c r="H118" s="88"/>
      <c r="I118" s="88"/>
      <c r="J118" s="88"/>
      <c r="K118" s="88"/>
      <c r="L118" s="88"/>
      <c r="M118" s="95"/>
      <c r="N118" s="89"/>
      <c r="O118" s="89"/>
    </row>
    <row r="119" spans="2:15" hidden="1" x14ac:dyDescent="0.2">
      <c r="B119" s="86"/>
      <c r="C119" s="205"/>
      <c r="D119" s="206"/>
      <c r="E119" s="207"/>
      <c r="F119" s="204">
        <f t="shared" si="12"/>
        <v>0</v>
      </c>
      <c r="G119" s="87"/>
      <c r="H119" s="88"/>
      <c r="I119" s="88"/>
      <c r="J119" s="88"/>
      <c r="K119" s="88"/>
      <c r="L119" s="88"/>
      <c r="M119" s="95"/>
      <c r="N119" s="89"/>
      <c r="O119" s="89"/>
    </row>
    <row r="120" spans="2:15" hidden="1" x14ac:dyDescent="0.2">
      <c r="B120" s="86"/>
      <c r="C120" s="205"/>
      <c r="D120" s="206"/>
      <c r="E120" s="207"/>
      <c r="F120" s="204">
        <f t="shared" si="12"/>
        <v>0</v>
      </c>
      <c r="G120" s="87"/>
      <c r="H120" s="88"/>
      <c r="I120" s="88"/>
      <c r="J120" s="88"/>
      <c r="K120" s="88"/>
      <c r="L120" s="88"/>
      <c r="M120" s="95"/>
      <c r="N120" s="89"/>
      <c r="O120" s="89"/>
    </row>
    <row r="121" spans="2:15" hidden="1" x14ac:dyDescent="0.2">
      <c r="B121" s="86"/>
      <c r="C121" s="205"/>
      <c r="D121" s="206"/>
      <c r="E121" s="207"/>
      <c r="F121" s="204">
        <f t="shared" si="12"/>
        <v>0</v>
      </c>
      <c r="G121" s="87"/>
      <c r="H121" s="88"/>
      <c r="I121" s="88"/>
      <c r="J121" s="88"/>
      <c r="K121" s="88"/>
      <c r="L121" s="88"/>
      <c r="M121" s="95"/>
      <c r="N121" s="89"/>
      <c r="O121" s="89"/>
    </row>
    <row r="122" spans="2:15" hidden="1" x14ac:dyDescent="0.2">
      <c r="B122" s="86"/>
      <c r="C122" s="205"/>
      <c r="D122" s="206"/>
      <c r="E122" s="207"/>
      <c r="F122" s="204">
        <f t="shared" si="12"/>
        <v>0</v>
      </c>
      <c r="G122" s="87"/>
      <c r="H122" s="88"/>
      <c r="I122" s="88"/>
      <c r="J122" s="88"/>
      <c r="K122" s="88"/>
      <c r="L122" s="88"/>
      <c r="M122" s="95"/>
      <c r="N122" s="89"/>
      <c r="O122" s="89"/>
    </row>
    <row r="123" spans="2:15" hidden="1" x14ac:dyDescent="0.2">
      <c r="B123" s="86"/>
      <c r="C123" s="205"/>
      <c r="D123" s="206"/>
      <c r="E123" s="207"/>
      <c r="F123" s="204">
        <f t="shared" si="12"/>
        <v>0</v>
      </c>
      <c r="G123" s="87"/>
      <c r="H123" s="88"/>
      <c r="I123" s="88"/>
      <c r="J123" s="88"/>
      <c r="K123" s="88"/>
      <c r="L123" s="88"/>
      <c r="M123" s="95"/>
      <c r="N123" s="89"/>
      <c r="O123" s="89"/>
    </row>
    <row r="124" spans="2:15" hidden="1" x14ac:dyDescent="0.2">
      <c r="B124" s="86"/>
      <c r="C124" s="205"/>
      <c r="D124" s="206"/>
      <c r="E124" s="207"/>
      <c r="F124" s="204">
        <f t="shared" si="12"/>
        <v>0</v>
      </c>
      <c r="G124" s="87"/>
      <c r="H124" s="88"/>
      <c r="I124" s="88"/>
      <c r="J124" s="88"/>
      <c r="K124" s="88"/>
      <c r="L124" s="88"/>
      <c r="M124" s="95"/>
      <c r="N124" s="89"/>
      <c r="O124" s="89"/>
    </row>
    <row r="125" spans="2:15" hidden="1" x14ac:dyDescent="0.2">
      <c r="B125" s="86"/>
      <c r="C125" s="205"/>
      <c r="D125" s="206"/>
      <c r="E125" s="207"/>
      <c r="F125" s="204">
        <f t="shared" si="12"/>
        <v>0</v>
      </c>
      <c r="G125" s="87"/>
      <c r="H125" s="88"/>
      <c r="I125" s="88"/>
      <c r="J125" s="88"/>
      <c r="K125" s="88"/>
      <c r="L125" s="88"/>
      <c r="M125" s="95"/>
      <c r="N125" s="89"/>
      <c r="O125" s="89"/>
    </row>
    <row r="126" spans="2:15" hidden="1" x14ac:dyDescent="0.2">
      <c r="B126" s="86"/>
      <c r="C126" s="205"/>
      <c r="D126" s="206"/>
      <c r="E126" s="207"/>
      <c r="F126" s="204">
        <f t="shared" si="12"/>
        <v>0</v>
      </c>
      <c r="G126" s="87"/>
      <c r="H126" s="88"/>
      <c r="I126" s="88"/>
      <c r="J126" s="88"/>
      <c r="K126" s="88"/>
      <c r="L126" s="88"/>
      <c r="M126" s="95"/>
      <c r="N126" s="89"/>
      <c r="O126" s="89"/>
    </row>
    <row r="127" spans="2:15" hidden="1" x14ac:dyDescent="0.2">
      <c r="B127" s="86"/>
      <c r="C127" s="205"/>
      <c r="D127" s="206"/>
      <c r="E127" s="207"/>
      <c r="F127" s="204">
        <f t="shared" si="12"/>
        <v>0</v>
      </c>
      <c r="G127" s="87"/>
      <c r="H127" s="88"/>
      <c r="I127" s="88"/>
      <c r="J127" s="88"/>
      <c r="K127" s="88"/>
      <c r="L127" s="88"/>
      <c r="M127" s="95"/>
      <c r="N127" s="89"/>
      <c r="O127" s="89"/>
    </row>
    <row r="128" spans="2:15" hidden="1" x14ac:dyDescent="0.2">
      <c r="B128" s="86"/>
      <c r="C128" s="205"/>
      <c r="D128" s="206"/>
      <c r="E128" s="207"/>
      <c r="F128" s="204">
        <f t="shared" si="12"/>
        <v>0</v>
      </c>
      <c r="G128" s="87"/>
      <c r="H128" s="88"/>
      <c r="I128" s="88"/>
      <c r="J128" s="88"/>
      <c r="K128" s="88"/>
      <c r="L128" s="88"/>
      <c r="M128" s="95"/>
      <c r="N128" s="89"/>
      <c r="O128" s="89"/>
    </row>
    <row r="129" spans="2:15" hidden="1" x14ac:dyDescent="0.2">
      <c r="B129" s="86"/>
      <c r="C129" s="205"/>
      <c r="D129" s="206"/>
      <c r="E129" s="207"/>
      <c r="F129" s="204">
        <f t="shared" si="12"/>
        <v>0</v>
      </c>
      <c r="G129" s="87"/>
      <c r="H129" s="88"/>
      <c r="I129" s="88"/>
      <c r="J129" s="88"/>
      <c r="K129" s="88"/>
      <c r="L129" s="88"/>
      <c r="M129" s="95"/>
      <c r="N129" s="89"/>
      <c r="O129" s="89"/>
    </row>
    <row r="130" spans="2:15" hidden="1" x14ac:dyDescent="0.2">
      <c r="B130" s="86"/>
      <c r="C130" s="205"/>
      <c r="D130" s="206"/>
      <c r="E130" s="207"/>
      <c r="F130" s="204">
        <f t="shared" si="12"/>
        <v>0</v>
      </c>
      <c r="G130" s="87"/>
      <c r="H130" s="88"/>
      <c r="I130" s="88"/>
      <c r="J130" s="88"/>
      <c r="K130" s="88"/>
      <c r="L130" s="88"/>
      <c r="M130" s="95"/>
      <c r="N130" s="89"/>
      <c r="O130" s="89"/>
    </row>
    <row r="131" spans="2:15" x14ac:dyDescent="0.2">
      <c r="B131" s="86"/>
      <c r="C131" s="205"/>
      <c r="D131" s="206"/>
      <c r="E131" s="207"/>
      <c r="F131" s="204">
        <f t="shared" si="12"/>
        <v>0</v>
      </c>
      <c r="G131" s="87"/>
      <c r="H131" s="88"/>
      <c r="I131" s="88"/>
      <c r="J131" s="88"/>
      <c r="K131" s="88"/>
      <c r="L131" s="88"/>
      <c r="M131" s="95"/>
      <c r="N131" s="89"/>
      <c r="O131" s="89"/>
    </row>
    <row r="132" spans="2:15" x14ac:dyDescent="0.2">
      <c r="B132" s="90"/>
      <c r="C132" s="208"/>
      <c r="D132" s="209"/>
      <c r="E132" s="210"/>
      <c r="F132" s="211">
        <f>E132-D132</f>
        <v>0</v>
      </c>
      <c r="G132" s="91"/>
      <c r="H132" s="92"/>
      <c r="I132" s="92"/>
      <c r="J132" s="92"/>
      <c r="K132" s="92"/>
      <c r="L132" s="92"/>
      <c r="M132" s="96"/>
      <c r="N132" s="93"/>
      <c r="O132" s="93"/>
    </row>
    <row r="133" spans="2:15" x14ac:dyDescent="0.2">
      <c r="C133" s="34"/>
      <c r="D133" s="308" t="s">
        <v>57</v>
      </c>
      <c r="E133" s="310"/>
      <c r="F133" s="212">
        <f>SUM(F111:F132)</f>
        <v>0</v>
      </c>
    </row>
    <row r="134" spans="2:15" x14ac:dyDescent="0.2">
      <c r="C134" s="34"/>
      <c r="D134" s="34"/>
      <c r="E134" s="34"/>
      <c r="F134" s="34"/>
    </row>
    <row r="135" spans="2:15" x14ac:dyDescent="0.2">
      <c r="B135" s="308" t="s">
        <v>90</v>
      </c>
      <c r="C135" s="309"/>
      <c r="D135" s="309"/>
      <c r="E135" s="309"/>
      <c r="F135" s="309"/>
      <c r="G135" s="81" t="str">
        <f>IF(Informe!$J$46="","",Informe!$J$46)</f>
        <v>BODEGA N°4</v>
      </c>
      <c r="H135" s="309" t="str">
        <f>IF(Informe!$J$47="","",(Informe!$J$47))</f>
        <v>EMBARQUE - LOTE 25107</v>
      </c>
      <c r="I135" s="309"/>
      <c r="J135" s="309"/>
      <c r="K135" s="309"/>
      <c r="L135" s="309"/>
      <c r="M135" s="309"/>
      <c r="N135" s="8"/>
    </row>
    <row r="136" spans="2:15" x14ac:dyDescent="0.2">
      <c r="B136" s="395" t="s">
        <v>5</v>
      </c>
      <c r="C136" s="395" t="s">
        <v>0</v>
      </c>
      <c r="D136" s="396" t="s">
        <v>44</v>
      </c>
      <c r="E136" s="396"/>
      <c r="F136" s="397" t="s">
        <v>6</v>
      </c>
      <c r="G136" s="311" t="s">
        <v>19</v>
      </c>
      <c r="H136" s="399" t="s">
        <v>19</v>
      </c>
      <c r="I136" s="399"/>
      <c r="J136" s="399"/>
      <c r="K136" s="399"/>
      <c r="L136" s="399"/>
      <c r="M136" s="312"/>
      <c r="N136" s="397" t="s">
        <v>45</v>
      </c>
      <c r="O136" s="397" t="s">
        <v>130</v>
      </c>
    </row>
    <row r="137" spans="2:15" x14ac:dyDescent="0.2">
      <c r="B137" s="395"/>
      <c r="C137" s="395"/>
      <c r="D137" s="80" t="s">
        <v>2</v>
      </c>
      <c r="E137" s="80" t="s">
        <v>3</v>
      </c>
      <c r="F137" s="403"/>
      <c r="G137" s="404"/>
      <c r="H137" s="405"/>
      <c r="I137" s="405"/>
      <c r="J137" s="405"/>
      <c r="K137" s="405"/>
      <c r="L137" s="405"/>
      <c r="M137" s="406"/>
      <c r="N137" s="403"/>
      <c r="O137" s="403"/>
    </row>
    <row r="138" spans="2:15" ht="12.75" x14ac:dyDescent="0.2">
      <c r="B138" s="83" t="s">
        <v>450</v>
      </c>
      <c r="C138" s="113">
        <v>45938</v>
      </c>
      <c r="D138" s="213">
        <v>0.97222222222222221</v>
      </c>
      <c r="E138" s="204">
        <v>0.97916666666666663</v>
      </c>
      <c r="F138" s="213">
        <f t="shared" ref="F138:F142" si="13">+E138-D138</f>
        <v>6.9444444444444198E-3</v>
      </c>
      <c r="G138" s="262" t="s">
        <v>470</v>
      </c>
      <c r="H138" s="88"/>
      <c r="I138" s="88"/>
      <c r="J138" s="88"/>
      <c r="K138" s="88"/>
      <c r="L138" s="88"/>
      <c r="M138" s="88"/>
      <c r="N138" s="44" t="s">
        <v>99</v>
      </c>
      <c r="O138" s="44"/>
    </row>
    <row r="139" spans="2:15" ht="12.75" x14ac:dyDescent="0.2">
      <c r="B139" s="86" t="s">
        <v>450</v>
      </c>
      <c r="C139" s="115">
        <v>45938</v>
      </c>
      <c r="D139" s="204">
        <v>0.99305555555555558</v>
      </c>
      <c r="E139" s="204">
        <v>1</v>
      </c>
      <c r="F139" s="204">
        <f t="shared" si="13"/>
        <v>6.9444444444444198E-3</v>
      </c>
      <c r="G139" s="262" t="s">
        <v>470</v>
      </c>
      <c r="H139" s="88"/>
      <c r="I139" s="88"/>
      <c r="J139" s="88"/>
      <c r="K139" s="88"/>
      <c r="L139" s="88"/>
      <c r="M139" s="88"/>
      <c r="N139" s="89" t="s">
        <v>99</v>
      </c>
      <c r="O139" s="89"/>
    </row>
    <row r="140" spans="2:15" ht="12.75" x14ac:dyDescent="0.2">
      <c r="B140" s="86" t="s">
        <v>450</v>
      </c>
      <c r="C140" s="115">
        <v>45939</v>
      </c>
      <c r="D140" s="204">
        <v>0.14930555555555555</v>
      </c>
      <c r="E140" s="204">
        <v>0.16666666666666666</v>
      </c>
      <c r="F140" s="204">
        <f t="shared" si="13"/>
        <v>1.7361111111111105E-2</v>
      </c>
      <c r="G140" s="262" t="s">
        <v>471</v>
      </c>
      <c r="H140" s="88"/>
      <c r="I140" s="88"/>
      <c r="J140" s="88"/>
      <c r="K140" s="88"/>
      <c r="L140" s="88"/>
      <c r="M140" s="88"/>
      <c r="N140" s="89" t="s">
        <v>97</v>
      </c>
      <c r="O140" s="89"/>
    </row>
    <row r="141" spans="2:15" ht="12.75" x14ac:dyDescent="0.2">
      <c r="B141" s="86" t="s">
        <v>450</v>
      </c>
      <c r="C141" s="115">
        <v>45939</v>
      </c>
      <c r="D141" s="204">
        <v>0.5</v>
      </c>
      <c r="E141" s="204">
        <v>0.51041666666666663</v>
      </c>
      <c r="F141" s="229">
        <f t="shared" si="13"/>
        <v>1.041666666666663E-2</v>
      </c>
      <c r="G141" s="262" t="s">
        <v>475</v>
      </c>
      <c r="H141" s="88"/>
      <c r="I141" s="88"/>
      <c r="J141" s="88"/>
      <c r="K141" s="88"/>
      <c r="L141" s="88"/>
      <c r="M141" s="88"/>
      <c r="N141" s="89" t="s">
        <v>99</v>
      </c>
      <c r="O141" s="89"/>
    </row>
    <row r="142" spans="2:15" ht="12.75" x14ac:dyDescent="0.2">
      <c r="B142" s="86" t="s">
        <v>450</v>
      </c>
      <c r="C142" s="115">
        <v>45939</v>
      </c>
      <c r="D142" s="204">
        <v>0.54861111111111116</v>
      </c>
      <c r="E142" s="204">
        <v>0.58333333333333337</v>
      </c>
      <c r="F142" s="229">
        <f t="shared" si="13"/>
        <v>3.472222222222221E-2</v>
      </c>
      <c r="G142" s="262" t="s">
        <v>477</v>
      </c>
      <c r="H142" s="88"/>
      <c r="I142" s="88"/>
      <c r="J142" s="88"/>
      <c r="K142" s="88"/>
      <c r="L142" s="88"/>
      <c r="M142" s="88"/>
      <c r="N142" s="89" t="s">
        <v>97</v>
      </c>
      <c r="O142" s="89"/>
    </row>
    <row r="143" spans="2:15" ht="12.75" x14ac:dyDescent="0.2">
      <c r="B143" s="86"/>
      <c r="C143" s="115"/>
      <c r="D143" s="204"/>
      <c r="E143" s="229"/>
      <c r="F143" s="229">
        <f t="shared" ref="F143" si="14">+E143-D143</f>
        <v>0</v>
      </c>
      <c r="G143" s="230"/>
      <c r="H143" s="88"/>
      <c r="I143" s="88"/>
      <c r="J143" s="88"/>
      <c r="K143" s="88"/>
      <c r="L143" s="88"/>
      <c r="M143" s="88"/>
      <c r="N143" s="89"/>
      <c r="O143" s="89"/>
    </row>
    <row r="144" spans="2:15" hidden="1" x14ac:dyDescent="0.2">
      <c r="B144" s="86"/>
      <c r="C144" s="205"/>
      <c r="D144" s="206"/>
      <c r="E144" s="207"/>
      <c r="F144" s="204">
        <f t="shared" ref="F144:F149" si="15">E144-D144</f>
        <v>0</v>
      </c>
      <c r="G144" s="87"/>
      <c r="H144" s="88"/>
      <c r="I144" s="88"/>
      <c r="J144" s="88"/>
      <c r="K144" s="88"/>
      <c r="L144" s="88"/>
      <c r="M144" s="95"/>
      <c r="N144" s="89"/>
      <c r="O144" s="89"/>
    </row>
    <row r="145" spans="2:15" hidden="1" x14ac:dyDescent="0.2">
      <c r="B145" s="86"/>
      <c r="C145" s="205"/>
      <c r="D145" s="206"/>
      <c r="E145" s="207"/>
      <c r="F145" s="204">
        <f t="shared" si="15"/>
        <v>0</v>
      </c>
      <c r="G145" s="87"/>
      <c r="H145" s="88"/>
      <c r="I145" s="88"/>
      <c r="J145" s="88"/>
      <c r="K145" s="88"/>
      <c r="L145" s="88"/>
      <c r="M145" s="95"/>
      <c r="N145" s="89"/>
      <c r="O145" s="89"/>
    </row>
    <row r="146" spans="2:15" hidden="1" x14ac:dyDescent="0.2">
      <c r="B146" s="86"/>
      <c r="C146" s="205"/>
      <c r="D146" s="206"/>
      <c r="E146" s="207"/>
      <c r="F146" s="204">
        <f t="shared" si="15"/>
        <v>0</v>
      </c>
      <c r="G146" s="87"/>
      <c r="H146" s="88"/>
      <c r="I146" s="88"/>
      <c r="J146" s="88"/>
      <c r="K146" s="88"/>
      <c r="L146" s="88"/>
      <c r="M146" s="95"/>
      <c r="N146" s="89"/>
      <c r="O146" s="89"/>
    </row>
    <row r="147" spans="2:15" hidden="1" x14ac:dyDescent="0.2">
      <c r="B147" s="86"/>
      <c r="C147" s="205"/>
      <c r="D147" s="206"/>
      <c r="E147" s="207"/>
      <c r="F147" s="204">
        <f t="shared" si="15"/>
        <v>0</v>
      </c>
      <c r="G147" s="87"/>
      <c r="H147" s="88"/>
      <c r="I147" s="88"/>
      <c r="J147" s="88"/>
      <c r="K147" s="88"/>
      <c r="L147" s="88"/>
      <c r="M147" s="95"/>
      <c r="N147" s="89"/>
      <c r="O147" s="89"/>
    </row>
    <row r="148" spans="2:15" hidden="1" x14ac:dyDescent="0.2">
      <c r="B148" s="86"/>
      <c r="C148" s="205"/>
      <c r="D148" s="206"/>
      <c r="E148" s="207"/>
      <c r="F148" s="204">
        <f t="shared" si="15"/>
        <v>0</v>
      </c>
      <c r="G148" s="87"/>
      <c r="H148" s="88"/>
      <c r="I148" s="88"/>
      <c r="J148" s="88"/>
      <c r="K148" s="88"/>
      <c r="L148" s="88"/>
      <c r="M148" s="95"/>
      <c r="N148" s="89"/>
      <c r="O148" s="89"/>
    </row>
    <row r="149" spans="2:15" hidden="1" x14ac:dyDescent="0.2">
      <c r="B149" s="86"/>
      <c r="C149" s="205"/>
      <c r="D149" s="206"/>
      <c r="E149" s="207"/>
      <c r="F149" s="204">
        <f t="shared" si="15"/>
        <v>0</v>
      </c>
      <c r="G149" s="87"/>
      <c r="H149" s="88"/>
      <c r="I149" s="88"/>
      <c r="J149" s="88"/>
      <c r="K149" s="88"/>
      <c r="L149" s="88"/>
      <c r="M149" s="95"/>
      <c r="N149" s="89"/>
      <c r="O149" s="89"/>
    </row>
    <row r="150" spans="2:15" hidden="1" x14ac:dyDescent="0.2">
      <c r="B150" s="86"/>
      <c r="C150" s="205"/>
      <c r="D150" s="206"/>
      <c r="E150" s="207"/>
      <c r="F150" s="204">
        <f t="shared" ref="F150:F157" si="16">E150-D150</f>
        <v>0</v>
      </c>
      <c r="G150" s="87"/>
      <c r="H150" s="88"/>
      <c r="I150" s="88"/>
      <c r="J150" s="88"/>
      <c r="K150" s="88"/>
      <c r="L150" s="88"/>
      <c r="M150" s="95"/>
      <c r="N150" s="89"/>
      <c r="O150" s="89"/>
    </row>
    <row r="151" spans="2:15" hidden="1" x14ac:dyDescent="0.2">
      <c r="B151" s="86"/>
      <c r="C151" s="205"/>
      <c r="D151" s="206"/>
      <c r="E151" s="207"/>
      <c r="F151" s="204">
        <f t="shared" si="16"/>
        <v>0</v>
      </c>
      <c r="G151" s="87"/>
      <c r="H151" s="88"/>
      <c r="I151" s="88"/>
      <c r="J151" s="88"/>
      <c r="K151" s="88"/>
      <c r="L151" s="88"/>
      <c r="M151" s="95"/>
      <c r="N151" s="89"/>
      <c r="O151" s="89"/>
    </row>
    <row r="152" spans="2:15" hidden="1" x14ac:dyDescent="0.2">
      <c r="B152" s="86"/>
      <c r="C152" s="205"/>
      <c r="D152" s="206"/>
      <c r="E152" s="207"/>
      <c r="F152" s="204">
        <f t="shared" si="16"/>
        <v>0</v>
      </c>
      <c r="G152" s="87"/>
      <c r="H152" s="88"/>
      <c r="I152" s="88"/>
      <c r="J152" s="88"/>
      <c r="K152" s="88"/>
      <c r="L152" s="88"/>
      <c r="M152" s="95"/>
      <c r="N152" s="89"/>
      <c r="O152" s="89"/>
    </row>
    <row r="153" spans="2:15" hidden="1" x14ac:dyDescent="0.2">
      <c r="B153" s="86"/>
      <c r="C153" s="205"/>
      <c r="D153" s="206"/>
      <c r="E153" s="207"/>
      <c r="F153" s="204">
        <f t="shared" si="16"/>
        <v>0</v>
      </c>
      <c r="G153" s="87"/>
      <c r="H153" s="88"/>
      <c r="I153" s="88"/>
      <c r="J153" s="88"/>
      <c r="K153" s="88"/>
      <c r="L153" s="88"/>
      <c r="M153" s="95"/>
      <c r="N153" s="89"/>
      <c r="O153" s="89"/>
    </row>
    <row r="154" spans="2:15" hidden="1" x14ac:dyDescent="0.2">
      <c r="B154" s="86"/>
      <c r="C154" s="205"/>
      <c r="D154" s="206"/>
      <c r="E154" s="207"/>
      <c r="F154" s="204">
        <f t="shared" si="16"/>
        <v>0</v>
      </c>
      <c r="G154" s="87"/>
      <c r="H154" s="88"/>
      <c r="I154" s="88"/>
      <c r="J154" s="88"/>
      <c r="K154" s="88"/>
      <c r="L154" s="88"/>
      <c r="M154" s="95"/>
      <c r="N154" s="89"/>
      <c r="O154" s="89"/>
    </row>
    <row r="155" spans="2:15" hidden="1" x14ac:dyDescent="0.2">
      <c r="B155" s="86"/>
      <c r="C155" s="205"/>
      <c r="D155" s="206"/>
      <c r="E155" s="207"/>
      <c r="F155" s="204">
        <f t="shared" si="16"/>
        <v>0</v>
      </c>
      <c r="G155" s="87"/>
      <c r="H155" s="88"/>
      <c r="I155" s="88"/>
      <c r="J155" s="88"/>
      <c r="K155" s="88"/>
      <c r="L155" s="88"/>
      <c r="M155" s="95"/>
      <c r="N155" s="89"/>
      <c r="O155" s="89"/>
    </row>
    <row r="156" spans="2:15" hidden="1" x14ac:dyDescent="0.2">
      <c r="B156" s="86"/>
      <c r="C156" s="205"/>
      <c r="D156" s="206"/>
      <c r="E156" s="207"/>
      <c r="F156" s="204">
        <f t="shared" si="16"/>
        <v>0</v>
      </c>
      <c r="G156" s="87"/>
      <c r="H156" s="88"/>
      <c r="I156" s="88"/>
      <c r="J156" s="88"/>
      <c r="K156" s="88"/>
      <c r="L156" s="88"/>
      <c r="M156" s="95"/>
      <c r="N156" s="89"/>
      <c r="O156" s="89"/>
    </row>
    <row r="157" spans="2:15" hidden="1" x14ac:dyDescent="0.2">
      <c r="B157" s="86"/>
      <c r="C157" s="205"/>
      <c r="D157" s="206"/>
      <c r="E157" s="207"/>
      <c r="F157" s="204">
        <f t="shared" si="16"/>
        <v>0</v>
      </c>
      <c r="G157" s="87"/>
      <c r="H157" s="88"/>
      <c r="I157" s="88"/>
      <c r="J157" s="88"/>
      <c r="K157" s="88"/>
      <c r="L157" s="88"/>
      <c r="M157" s="95"/>
      <c r="N157" s="89"/>
      <c r="O157" s="89"/>
    </row>
    <row r="158" spans="2:15" hidden="1" x14ac:dyDescent="0.2">
      <c r="B158" s="86"/>
      <c r="C158" s="205"/>
      <c r="D158" s="206"/>
      <c r="E158" s="207"/>
      <c r="F158" s="204">
        <f>E158-D158</f>
        <v>0</v>
      </c>
      <c r="G158" s="87"/>
      <c r="H158" s="88"/>
      <c r="I158" s="88"/>
      <c r="J158" s="88"/>
      <c r="K158" s="88"/>
      <c r="L158" s="88"/>
      <c r="M158" s="95"/>
      <c r="N158" s="89"/>
      <c r="O158" s="89"/>
    </row>
    <row r="159" spans="2:15" x14ac:dyDescent="0.2">
      <c r="B159" s="90"/>
      <c r="C159" s="208"/>
      <c r="D159" s="209"/>
      <c r="E159" s="210"/>
      <c r="F159" s="211">
        <f>E159-D159</f>
        <v>0</v>
      </c>
      <c r="G159" s="91"/>
      <c r="H159" s="92"/>
      <c r="I159" s="92"/>
      <c r="J159" s="92"/>
      <c r="K159" s="92"/>
      <c r="L159" s="92"/>
      <c r="M159" s="96"/>
      <c r="N159" s="93"/>
      <c r="O159" s="93"/>
    </row>
    <row r="160" spans="2:15" x14ac:dyDescent="0.2">
      <c r="C160" s="34"/>
      <c r="D160" s="308" t="s">
        <v>57</v>
      </c>
      <c r="E160" s="310"/>
      <c r="F160" s="212">
        <f>SUM(F138:F159)</f>
        <v>7.6388888888888784E-2</v>
      </c>
    </row>
    <row r="161" spans="2:15" x14ac:dyDescent="0.2">
      <c r="C161" s="34"/>
      <c r="D161" s="34"/>
      <c r="E161" s="34"/>
      <c r="F161" s="34"/>
    </row>
    <row r="162" spans="2:15" x14ac:dyDescent="0.2">
      <c r="B162" s="308" t="s">
        <v>90</v>
      </c>
      <c r="C162" s="309"/>
      <c r="D162" s="309"/>
      <c r="E162" s="309"/>
      <c r="F162" s="309"/>
      <c r="G162" s="81" t="str">
        <f>IF(Informe!$L$46="","",Informe!$L$46)</f>
        <v>BODEGA N°5</v>
      </c>
      <c r="H162" s="309" t="str">
        <f>IF(Informe!$L$47="","",(Informe!$L$47))</f>
        <v>EMBARQUE - LOTE 25108</v>
      </c>
      <c r="I162" s="309"/>
      <c r="J162" s="309"/>
      <c r="K162" s="309"/>
      <c r="L162" s="309"/>
      <c r="M162" s="309"/>
      <c r="N162" s="8"/>
    </row>
    <row r="163" spans="2:15" x14ac:dyDescent="0.2">
      <c r="B163" s="395" t="s">
        <v>5</v>
      </c>
      <c r="C163" s="395" t="s">
        <v>0</v>
      </c>
      <c r="D163" s="396" t="s">
        <v>44</v>
      </c>
      <c r="E163" s="396"/>
      <c r="F163" s="397" t="s">
        <v>6</v>
      </c>
      <c r="G163" s="311" t="s">
        <v>19</v>
      </c>
      <c r="H163" s="399" t="s">
        <v>19</v>
      </c>
      <c r="I163" s="399"/>
      <c r="J163" s="399"/>
      <c r="K163" s="399"/>
      <c r="L163" s="399"/>
      <c r="M163" s="312"/>
      <c r="N163" s="397" t="s">
        <v>45</v>
      </c>
      <c r="O163" s="397" t="s">
        <v>130</v>
      </c>
    </row>
    <row r="164" spans="2:15" x14ac:dyDescent="0.2">
      <c r="B164" s="395"/>
      <c r="C164" s="395"/>
      <c r="D164" s="80" t="s">
        <v>2</v>
      </c>
      <c r="E164" s="80" t="s">
        <v>3</v>
      </c>
      <c r="F164" s="403"/>
      <c r="G164" s="404"/>
      <c r="H164" s="405"/>
      <c r="I164" s="405"/>
      <c r="J164" s="405"/>
      <c r="K164" s="405"/>
      <c r="L164" s="405"/>
      <c r="M164" s="406"/>
      <c r="N164" s="403"/>
      <c r="O164" s="403"/>
    </row>
    <row r="165" spans="2:15" ht="12.75" x14ac:dyDescent="0.2">
      <c r="B165" s="86" t="s">
        <v>450</v>
      </c>
      <c r="C165" s="115">
        <v>45939</v>
      </c>
      <c r="D165" s="204">
        <v>0.63541666666666663</v>
      </c>
      <c r="E165" s="204">
        <v>0.64583333333333337</v>
      </c>
      <c r="F165" s="229">
        <f t="shared" ref="F165:F171" si="17">+E165-D165</f>
        <v>1.0416666666666741E-2</v>
      </c>
      <c r="G165" s="262" t="s">
        <v>475</v>
      </c>
      <c r="H165" s="88"/>
      <c r="I165" s="88"/>
      <c r="J165" s="88"/>
      <c r="K165" s="88"/>
      <c r="L165" s="88"/>
      <c r="M165" s="88"/>
      <c r="N165" s="89" t="s">
        <v>99</v>
      </c>
      <c r="O165" s="89"/>
    </row>
    <row r="166" spans="2:15" ht="12.75" x14ac:dyDescent="0.2">
      <c r="B166" s="86" t="s">
        <v>450</v>
      </c>
      <c r="C166" s="115">
        <v>45939</v>
      </c>
      <c r="D166" s="204">
        <v>0.68055555555555558</v>
      </c>
      <c r="E166" s="204">
        <v>0.70833333333333337</v>
      </c>
      <c r="F166" s="229">
        <f t="shared" si="17"/>
        <v>2.777777777777779E-2</v>
      </c>
      <c r="G166" s="262" t="s">
        <v>478</v>
      </c>
      <c r="H166" s="88"/>
      <c r="I166" s="88"/>
      <c r="J166" s="88"/>
      <c r="K166" s="88"/>
      <c r="L166" s="88"/>
      <c r="M166" s="88"/>
      <c r="N166" s="89" t="s">
        <v>97</v>
      </c>
      <c r="O166" s="89"/>
    </row>
    <row r="167" spans="2:15" ht="12.75" x14ac:dyDescent="0.2">
      <c r="B167" s="86" t="s">
        <v>450</v>
      </c>
      <c r="C167" s="115">
        <v>45939</v>
      </c>
      <c r="D167" s="204">
        <v>0.875</v>
      </c>
      <c r="E167" s="204">
        <v>0.88888888888888884</v>
      </c>
      <c r="F167" s="229">
        <f t="shared" si="17"/>
        <v>1.388888888888884E-2</v>
      </c>
      <c r="G167" s="262" t="s">
        <v>480</v>
      </c>
      <c r="H167" s="88"/>
      <c r="I167" s="88"/>
      <c r="J167" s="88"/>
      <c r="K167" s="88"/>
      <c r="L167" s="88"/>
      <c r="M167" s="88"/>
      <c r="N167" s="89" t="s">
        <v>97</v>
      </c>
      <c r="O167" s="89"/>
    </row>
    <row r="168" spans="2:15" x14ac:dyDescent="0.2">
      <c r="B168" s="86" t="s">
        <v>450</v>
      </c>
      <c r="C168" s="115">
        <v>45939</v>
      </c>
      <c r="D168" s="204">
        <v>0.88888888888888884</v>
      </c>
      <c r="E168" s="204">
        <v>0.89583333333333337</v>
      </c>
      <c r="F168" s="229">
        <f t="shared" si="17"/>
        <v>6.9444444444445308E-3</v>
      </c>
      <c r="G168" s="88" t="s">
        <v>473</v>
      </c>
      <c r="H168" s="88"/>
      <c r="I168" s="88"/>
      <c r="J168" s="88"/>
      <c r="K168" s="88"/>
      <c r="L168" s="88"/>
      <c r="M168" s="88"/>
      <c r="N168" s="89" t="s">
        <v>98</v>
      </c>
      <c r="O168" s="89"/>
    </row>
    <row r="169" spans="2:15" x14ac:dyDescent="0.2">
      <c r="B169" s="86" t="s">
        <v>450</v>
      </c>
      <c r="C169" s="115">
        <v>45939</v>
      </c>
      <c r="D169" s="204">
        <v>0.96527777777777779</v>
      </c>
      <c r="E169" s="204">
        <v>0.97222222222222221</v>
      </c>
      <c r="F169" s="229">
        <f t="shared" si="17"/>
        <v>6.9444444444444198E-3</v>
      </c>
      <c r="G169" s="88" t="s">
        <v>470</v>
      </c>
      <c r="H169" s="88"/>
      <c r="I169" s="88"/>
      <c r="J169" s="88"/>
      <c r="K169" s="88"/>
      <c r="L169" s="88"/>
      <c r="M169" s="88"/>
      <c r="N169" s="89" t="s">
        <v>99</v>
      </c>
      <c r="O169" s="89"/>
    </row>
    <row r="170" spans="2:15" x14ac:dyDescent="0.2">
      <c r="B170" s="86" t="s">
        <v>450</v>
      </c>
      <c r="C170" s="115">
        <v>45939</v>
      </c>
      <c r="D170" s="204">
        <v>0.97569444444444442</v>
      </c>
      <c r="E170" s="204">
        <v>0.97916666666666663</v>
      </c>
      <c r="F170" s="229">
        <f t="shared" si="17"/>
        <v>3.4722222222222099E-3</v>
      </c>
      <c r="G170" s="88" t="s">
        <v>470</v>
      </c>
      <c r="H170" s="88"/>
      <c r="I170" s="88"/>
      <c r="J170" s="88"/>
      <c r="K170" s="88"/>
      <c r="L170" s="88"/>
      <c r="M170" s="88"/>
      <c r="N170" s="89" t="s">
        <v>99</v>
      </c>
      <c r="O170" s="89"/>
    </row>
    <row r="171" spans="2:15" x14ac:dyDescent="0.2">
      <c r="B171" s="86" t="s">
        <v>450</v>
      </c>
      <c r="C171" s="115">
        <v>45939</v>
      </c>
      <c r="D171" s="204">
        <v>2.7777777777777776E-2</v>
      </c>
      <c r="E171" s="204">
        <v>4.1666666666666664E-2</v>
      </c>
      <c r="F171" s="229">
        <f t="shared" si="17"/>
        <v>1.3888888888888888E-2</v>
      </c>
      <c r="G171" s="88" t="s">
        <v>478</v>
      </c>
      <c r="H171" s="88"/>
      <c r="I171" s="88"/>
      <c r="J171" s="88"/>
      <c r="K171" s="88"/>
      <c r="L171" s="88"/>
      <c r="M171" s="88"/>
      <c r="N171" s="89" t="s">
        <v>97</v>
      </c>
      <c r="O171" s="89"/>
    </row>
    <row r="172" spans="2:15" x14ac:dyDescent="0.2">
      <c r="B172" s="86"/>
      <c r="C172" s="205"/>
      <c r="D172" s="206"/>
      <c r="E172" s="207"/>
      <c r="F172" s="204">
        <f t="shared" ref="F172:F175" si="18">E172-D172</f>
        <v>0</v>
      </c>
      <c r="G172" s="87"/>
      <c r="H172" s="88"/>
      <c r="I172" s="88"/>
      <c r="J172" s="88"/>
      <c r="K172" s="88"/>
      <c r="L172" s="88"/>
      <c r="M172" s="95"/>
      <c r="N172" s="89"/>
      <c r="O172" s="89"/>
    </row>
    <row r="173" spans="2:15" x14ac:dyDescent="0.2">
      <c r="B173" s="86"/>
      <c r="C173" s="205"/>
      <c r="D173" s="206"/>
      <c r="E173" s="207"/>
      <c r="F173" s="204">
        <f t="shared" si="18"/>
        <v>0</v>
      </c>
      <c r="G173" s="87"/>
      <c r="H173" s="88"/>
      <c r="I173" s="88"/>
      <c r="J173" s="88"/>
      <c r="K173" s="88"/>
      <c r="L173" s="88"/>
      <c r="M173" s="95"/>
      <c r="N173" s="89"/>
      <c r="O173" s="89"/>
    </row>
    <row r="174" spans="2:15" x14ac:dyDescent="0.2">
      <c r="B174" s="86"/>
      <c r="C174" s="205"/>
      <c r="D174" s="206"/>
      <c r="E174" s="207"/>
      <c r="F174" s="204">
        <f t="shared" si="18"/>
        <v>0</v>
      </c>
      <c r="G174" s="87"/>
      <c r="H174" s="88"/>
      <c r="I174" s="88"/>
      <c r="J174" s="88"/>
      <c r="K174" s="88"/>
      <c r="L174" s="88"/>
      <c r="M174" s="95"/>
      <c r="N174" s="89"/>
      <c r="O174" s="89"/>
    </row>
    <row r="175" spans="2:15" x14ac:dyDescent="0.2">
      <c r="B175" s="90"/>
      <c r="C175" s="208"/>
      <c r="D175" s="209"/>
      <c r="E175" s="210"/>
      <c r="F175" s="211">
        <f t="shared" si="18"/>
        <v>0</v>
      </c>
      <c r="G175" s="91"/>
      <c r="H175" s="92"/>
      <c r="I175" s="92"/>
      <c r="J175" s="92"/>
      <c r="K175" s="92"/>
      <c r="L175" s="92"/>
      <c r="M175" s="96"/>
      <c r="N175" s="93"/>
      <c r="O175" s="93"/>
    </row>
    <row r="176" spans="2:15" x14ac:dyDescent="0.2">
      <c r="C176" s="34"/>
      <c r="D176" s="308" t="s">
        <v>57</v>
      </c>
      <c r="E176" s="310"/>
      <c r="F176" s="212">
        <f>SUM(F165:F175)</f>
        <v>8.3333333333333426E-2</v>
      </c>
    </row>
    <row r="177" spans="2:15" x14ac:dyDescent="0.2">
      <c r="C177" s="34"/>
      <c r="D177" s="34"/>
      <c r="E177" s="34"/>
      <c r="F177" s="34"/>
    </row>
    <row r="178" spans="2:15" hidden="1" x14ac:dyDescent="0.2">
      <c r="B178" s="308" t="s">
        <v>90</v>
      </c>
      <c r="C178" s="309"/>
      <c r="D178" s="309"/>
      <c r="E178" s="309"/>
      <c r="F178" s="309"/>
      <c r="G178" s="81" t="str">
        <f>IF(Informe!$N$46="","",Informe!$N$46)</f>
        <v/>
      </c>
      <c r="H178" s="309" t="str">
        <f>IF(Informe!$N$47="","",(Informe!$N$47))</f>
        <v/>
      </c>
      <c r="I178" s="309"/>
      <c r="J178" s="309"/>
      <c r="K178" s="309"/>
      <c r="L178" s="309"/>
      <c r="M178" s="309"/>
      <c r="N178" s="8"/>
    </row>
    <row r="179" spans="2:15" hidden="1" x14ac:dyDescent="0.2">
      <c r="B179" s="395" t="s">
        <v>5</v>
      </c>
      <c r="C179" s="395" t="s">
        <v>0</v>
      </c>
      <c r="D179" s="396" t="s">
        <v>44</v>
      </c>
      <c r="E179" s="396"/>
      <c r="F179" s="397" t="s">
        <v>6</v>
      </c>
      <c r="G179" s="311" t="s">
        <v>19</v>
      </c>
      <c r="H179" s="399" t="s">
        <v>19</v>
      </c>
      <c r="I179" s="399"/>
      <c r="J179" s="399"/>
      <c r="K179" s="399"/>
      <c r="L179" s="399"/>
      <c r="M179" s="312"/>
      <c r="N179" s="397" t="s">
        <v>45</v>
      </c>
      <c r="O179" s="397" t="s">
        <v>130</v>
      </c>
    </row>
    <row r="180" spans="2:15" hidden="1" x14ac:dyDescent="0.2">
      <c r="B180" s="395"/>
      <c r="C180" s="395"/>
      <c r="D180" s="80" t="s">
        <v>2</v>
      </c>
      <c r="E180" s="80" t="s">
        <v>3</v>
      </c>
      <c r="F180" s="398"/>
      <c r="G180" s="400"/>
      <c r="H180" s="401"/>
      <c r="I180" s="401"/>
      <c r="J180" s="401"/>
      <c r="K180" s="401"/>
      <c r="L180" s="401"/>
      <c r="M180" s="402"/>
      <c r="N180" s="403"/>
      <c r="O180" s="403"/>
    </row>
    <row r="181" spans="2:15" hidden="1" x14ac:dyDescent="0.2">
      <c r="B181" s="83"/>
      <c r="C181" s="201"/>
      <c r="D181" s="202"/>
      <c r="E181" s="203"/>
      <c r="F181" s="213">
        <f>E181-D181</f>
        <v>0</v>
      </c>
      <c r="G181" s="84"/>
      <c r="H181" s="85"/>
      <c r="I181" s="85"/>
      <c r="J181" s="85"/>
      <c r="K181" s="85"/>
      <c r="L181" s="85"/>
      <c r="M181" s="94"/>
      <c r="N181" s="44"/>
      <c r="O181" s="44"/>
    </row>
    <row r="182" spans="2:15" hidden="1" x14ac:dyDescent="0.2">
      <c r="B182" s="86"/>
      <c r="C182" s="205"/>
      <c r="D182" s="206"/>
      <c r="E182" s="207"/>
      <c r="F182" s="204">
        <f>E182-D182</f>
        <v>0</v>
      </c>
      <c r="G182" s="87"/>
      <c r="H182" s="88"/>
      <c r="I182" s="88"/>
      <c r="J182" s="88"/>
      <c r="K182" s="88"/>
      <c r="L182" s="88"/>
      <c r="M182" s="95"/>
      <c r="N182" s="89"/>
      <c r="O182" s="89"/>
    </row>
    <row r="183" spans="2:15" hidden="1" x14ac:dyDescent="0.2">
      <c r="B183" s="86"/>
      <c r="C183" s="205"/>
      <c r="D183" s="206"/>
      <c r="E183" s="207"/>
      <c r="F183" s="204">
        <f>E183-D183</f>
        <v>0</v>
      </c>
      <c r="G183" s="87"/>
      <c r="H183" s="88"/>
      <c r="I183" s="88"/>
      <c r="J183" s="88"/>
      <c r="K183" s="88"/>
      <c r="L183" s="88"/>
      <c r="M183" s="95"/>
      <c r="N183" s="89"/>
      <c r="O183" s="89"/>
    </row>
    <row r="184" spans="2:15" hidden="1" x14ac:dyDescent="0.2">
      <c r="B184" s="86"/>
      <c r="C184" s="205"/>
      <c r="D184" s="206"/>
      <c r="E184" s="207"/>
      <c r="F184" s="204">
        <f>E184-D184</f>
        <v>0</v>
      </c>
      <c r="G184" s="87"/>
      <c r="H184" s="88"/>
      <c r="I184" s="88"/>
      <c r="J184" s="88"/>
      <c r="K184" s="88"/>
      <c r="L184" s="88"/>
      <c r="M184" s="95"/>
      <c r="N184" s="89"/>
      <c r="O184" s="89"/>
    </row>
    <row r="185" spans="2:15" hidden="1" x14ac:dyDescent="0.2">
      <c r="B185" s="90"/>
      <c r="C185" s="208"/>
      <c r="D185" s="209"/>
      <c r="E185" s="210"/>
      <c r="F185" s="211">
        <f>E185-D185</f>
        <v>0</v>
      </c>
      <c r="G185" s="91"/>
      <c r="H185" s="92"/>
      <c r="I185" s="92"/>
      <c r="J185" s="92"/>
      <c r="K185" s="92"/>
      <c r="L185" s="92"/>
      <c r="M185" s="96"/>
      <c r="N185" s="93"/>
      <c r="O185" s="93"/>
    </row>
    <row r="186" spans="2:15" hidden="1" x14ac:dyDescent="0.2">
      <c r="C186" s="34"/>
      <c r="D186" s="308" t="s">
        <v>57</v>
      </c>
      <c r="E186" s="310"/>
      <c r="F186" s="212">
        <f>SUM(F181:F185)</f>
        <v>0</v>
      </c>
    </row>
    <row r="187" spans="2:15" hidden="1" x14ac:dyDescent="0.2">
      <c r="C187" s="34"/>
      <c r="D187" s="34"/>
      <c r="E187" s="34"/>
      <c r="F187" s="34"/>
    </row>
    <row r="188" spans="2:15" hidden="1" x14ac:dyDescent="0.2">
      <c r="B188" s="308" t="s">
        <v>90</v>
      </c>
      <c r="C188" s="309"/>
      <c r="D188" s="309"/>
      <c r="E188" s="309"/>
      <c r="F188" s="309"/>
      <c r="G188" s="81" t="str">
        <f>IF(Informe!$P$46="","",Informe!$P$46)</f>
        <v/>
      </c>
      <c r="H188" s="309" t="str">
        <f>IF(Informe!$P$47="","",(Informe!$P$47))</f>
        <v/>
      </c>
      <c r="I188" s="309"/>
      <c r="J188" s="309"/>
      <c r="K188" s="309"/>
      <c r="L188" s="309"/>
      <c r="M188" s="309"/>
      <c r="N188" s="8"/>
    </row>
    <row r="189" spans="2:15" hidden="1" x14ac:dyDescent="0.2">
      <c r="B189" s="395" t="s">
        <v>5</v>
      </c>
      <c r="C189" s="395" t="s">
        <v>0</v>
      </c>
      <c r="D189" s="396" t="s">
        <v>44</v>
      </c>
      <c r="E189" s="396"/>
      <c r="F189" s="397" t="s">
        <v>6</v>
      </c>
      <c r="G189" s="311" t="s">
        <v>19</v>
      </c>
      <c r="H189" s="399" t="s">
        <v>19</v>
      </c>
      <c r="I189" s="399"/>
      <c r="J189" s="399"/>
      <c r="K189" s="399"/>
      <c r="L189" s="399"/>
      <c r="M189" s="312"/>
      <c r="N189" s="397" t="s">
        <v>45</v>
      </c>
      <c r="O189" s="397" t="s">
        <v>130</v>
      </c>
    </row>
    <row r="190" spans="2:15" hidden="1" x14ac:dyDescent="0.2">
      <c r="B190" s="395"/>
      <c r="C190" s="395"/>
      <c r="D190" s="80" t="s">
        <v>2</v>
      </c>
      <c r="E190" s="80" t="s">
        <v>3</v>
      </c>
      <c r="F190" s="398"/>
      <c r="G190" s="400"/>
      <c r="H190" s="401"/>
      <c r="I190" s="401"/>
      <c r="J190" s="401"/>
      <c r="K190" s="401"/>
      <c r="L190" s="401"/>
      <c r="M190" s="402"/>
      <c r="N190" s="403"/>
      <c r="O190" s="403"/>
    </row>
    <row r="191" spans="2:15" hidden="1" x14ac:dyDescent="0.2">
      <c r="B191" s="83"/>
      <c r="C191" s="201"/>
      <c r="D191" s="202"/>
      <c r="E191" s="203"/>
      <c r="F191" s="213">
        <f>E191-D191</f>
        <v>0</v>
      </c>
      <c r="G191" s="84"/>
      <c r="H191" s="85"/>
      <c r="I191" s="85"/>
      <c r="J191" s="85"/>
      <c r="K191" s="85"/>
      <c r="L191" s="85"/>
      <c r="M191" s="94"/>
      <c r="N191" s="44"/>
      <c r="O191" s="44"/>
    </row>
    <row r="192" spans="2:15" hidden="1" x14ac:dyDescent="0.2">
      <c r="B192" s="86"/>
      <c r="C192" s="205"/>
      <c r="D192" s="206"/>
      <c r="E192" s="207"/>
      <c r="F192" s="204">
        <f>E192-D192</f>
        <v>0</v>
      </c>
      <c r="G192" s="87"/>
      <c r="H192" s="88"/>
      <c r="I192" s="88"/>
      <c r="J192" s="88"/>
      <c r="K192" s="88"/>
      <c r="L192" s="88"/>
      <c r="M192" s="95"/>
      <c r="N192" s="89"/>
      <c r="O192" s="89"/>
    </row>
    <row r="193" spans="2:15" hidden="1" x14ac:dyDescent="0.2">
      <c r="B193" s="86"/>
      <c r="C193" s="205"/>
      <c r="D193" s="206"/>
      <c r="E193" s="207"/>
      <c r="F193" s="204">
        <f>E193-D193</f>
        <v>0</v>
      </c>
      <c r="G193" s="87"/>
      <c r="H193" s="88"/>
      <c r="I193" s="88"/>
      <c r="J193" s="88"/>
      <c r="K193" s="88"/>
      <c r="L193" s="88"/>
      <c r="M193" s="95"/>
      <c r="N193" s="89"/>
      <c r="O193" s="89"/>
    </row>
    <row r="194" spans="2:15" hidden="1" x14ac:dyDescent="0.2">
      <c r="B194" s="86"/>
      <c r="C194" s="205"/>
      <c r="D194" s="206"/>
      <c r="E194" s="207"/>
      <c r="F194" s="204">
        <f>E194-D194</f>
        <v>0</v>
      </c>
      <c r="G194" s="87"/>
      <c r="H194" s="88"/>
      <c r="I194" s="88"/>
      <c r="J194" s="88"/>
      <c r="K194" s="88"/>
      <c r="L194" s="88"/>
      <c r="M194" s="95"/>
      <c r="N194" s="89"/>
      <c r="O194" s="89"/>
    </row>
    <row r="195" spans="2:15" hidden="1" x14ac:dyDescent="0.2">
      <c r="B195" s="90"/>
      <c r="C195" s="208"/>
      <c r="D195" s="209"/>
      <c r="E195" s="210"/>
      <c r="F195" s="211">
        <f>E195-D195</f>
        <v>0</v>
      </c>
      <c r="G195" s="91"/>
      <c r="H195" s="92"/>
      <c r="I195" s="92"/>
      <c r="J195" s="92"/>
      <c r="K195" s="92"/>
      <c r="L195" s="92"/>
      <c r="M195" s="96"/>
      <c r="N195" s="93"/>
      <c r="O195" s="93"/>
    </row>
    <row r="196" spans="2:15" hidden="1" x14ac:dyDescent="0.2">
      <c r="C196" s="34"/>
      <c r="D196" s="308" t="s">
        <v>57</v>
      </c>
      <c r="E196" s="310"/>
      <c r="F196" s="212">
        <f>SUM(F191:F195)</f>
        <v>0</v>
      </c>
    </row>
    <row r="197" spans="2:15" hidden="1" x14ac:dyDescent="0.2">
      <c r="C197" s="34"/>
      <c r="D197" s="34"/>
      <c r="E197" s="34"/>
      <c r="F197" s="34"/>
    </row>
    <row r="198" spans="2:15" hidden="1" x14ac:dyDescent="0.2">
      <c r="B198" s="308" t="s">
        <v>90</v>
      </c>
      <c r="C198" s="309"/>
      <c r="D198" s="309"/>
      <c r="E198" s="309"/>
      <c r="F198" s="309"/>
      <c r="G198" s="81" t="str">
        <f>IF(Informe!$R$46="","",Informe!$R$46)</f>
        <v/>
      </c>
      <c r="H198" s="309" t="str">
        <f>IF(Informe!$R$47="","",(Informe!$R$47))</f>
        <v/>
      </c>
      <c r="I198" s="309"/>
      <c r="J198" s="309"/>
      <c r="K198" s="309"/>
      <c r="L198" s="309"/>
      <c r="M198" s="309"/>
      <c r="N198" s="8"/>
    </row>
    <row r="199" spans="2:15" hidden="1" x14ac:dyDescent="0.2">
      <c r="B199" s="395" t="s">
        <v>5</v>
      </c>
      <c r="C199" s="395" t="s">
        <v>0</v>
      </c>
      <c r="D199" s="396" t="s">
        <v>44</v>
      </c>
      <c r="E199" s="396"/>
      <c r="F199" s="397" t="s">
        <v>6</v>
      </c>
      <c r="G199" s="311" t="s">
        <v>19</v>
      </c>
      <c r="H199" s="399" t="s">
        <v>19</v>
      </c>
      <c r="I199" s="399"/>
      <c r="J199" s="399"/>
      <c r="K199" s="399"/>
      <c r="L199" s="399"/>
      <c r="M199" s="312"/>
      <c r="N199" s="397" t="s">
        <v>45</v>
      </c>
      <c r="O199" s="397" t="s">
        <v>130</v>
      </c>
    </row>
    <row r="200" spans="2:15" hidden="1" x14ac:dyDescent="0.2">
      <c r="B200" s="395"/>
      <c r="C200" s="395"/>
      <c r="D200" s="80" t="s">
        <v>2</v>
      </c>
      <c r="E200" s="80" t="s">
        <v>3</v>
      </c>
      <c r="F200" s="398"/>
      <c r="G200" s="400"/>
      <c r="H200" s="401"/>
      <c r="I200" s="401"/>
      <c r="J200" s="401"/>
      <c r="K200" s="401"/>
      <c r="L200" s="401"/>
      <c r="M200" s="402"/>
      <c r="N200" s="403"/>
      <c r="O200" s="403"/>
    </row>
    <row r="201" spans="2:15" hidden="1" x14ac:dyDescent="0.2">
      <c r="B201" s="83"/>
      <c r="C201" s="201"/>
      <c r="D201" s="202"/>
      <c r="E201" s="203"/>
      <c r="F201" s="213">
        <f>E201-D201</f>
        <v>0</v>
      </c>
      <c r="G201" s="84"/>
      <c r="H201" s="85"/>
      <c r="I201" s="85"/>
      <c r="J201" s="85"/>
      <c r="K201" s="85"/>
      <c r="L201" s="85"/>
      <c r="M201" s="94"/>
      <c r="N201" s="44"/>
      <c r="O201" s="44"/>
    </row>
    <row r="202" spans="2:15" hidden="1" x14ac:dyDescent="0.2">
      <c r="B202" s="86"/>
      <c r="C202" s="205"/>
      <c r="D202" s="206"/>
      <c r="E202" s="207"/>
      <c r="F202" s="204">
        <f>E202-D202</f>
        <v>0</v>
      </c>
      <c r="G202" s="87"/>
      <c r="H202" s="88"/>
      <c r="I202" s="88"/>
      <c r="J202" s="88"/>
      <c r="K202" s="88"/>
      <c r="L202" s="88"/>
      <c r="M202" s="95"/>
      <c r="N202" s="89"/>
      <c r="O202" s="89"/>
    </row>
    <row r="203" spans="2:15" hidden="1" x14ac:dyDescent="0.2">
      <c r="B203" s="86"/>
      <c r="C203" s="205"/>
      <c r="D203" s="206"/>
      <c r="E203" s="207"/>
      <c r="F203" s="204">
        <f>E203-D203</f>
        <v>0</v>
      </c>
      <c r="G203" s="87"/>
      <c r="H203" s="88"/>
      <c r="I203" s="88"/>
      <c r="J203" s="88"/>
      <c r="K203" s="88"/>
      <c r="L203" s="88"/>
      <c r="M203" s="95"/>
      <c r="N203" s="89"/>
      <c r="O203" s="89"/>
    </row>
    <row r="204" spans="2:15" hidden="1" x14ac:dyDescent="0.2">
      <c r="B204" s="86"/>
      <c r="C204" s="205"/>
      <c r="D204" s="206"/>
      <c r="E204" s="207"/>
      <c r="F204" s="204">
        <f>E204-D204</f>
        <v>0</v>
      </c>
      <c r="G204" s="87"/>
      <c r="H204" s="88"/>
      <c r="I204" s="88"/>
      <c r="J204" s="88"/>
      <c r="K204" s="88"/>
      <c r="L204" s="88"/>
      <c r="M204" s="95"/>
      <c r="N204" s="89"/>
      <c r="O204" s="89"/>
    </row>
    <row r="205" spans="2:15" hidden="1" x14ac:dyDescent="0.2">
      <c r="B205" s="90"/>
      <c r="C205" s="208"/>
      <c r="D205" s="209"/>
      <c r="E205" s="210"/>
      <c r="F205" s="211">
        <f>E205-D205</f>
        <v>0</v>
      </c>
      <c r="G205" s="91"/>
      <c r="H205" s="92"/>
      <c r="I205" s="92"/>
      <c r="J205" s="92"/>
      <c r="K205" s="92"/>
      <c r="L205" s="92"/>
      <c r="M205" s="96"/>
      <c r="N205" s="93"/>
      <c r="O205" s="93"/>
    </row>
    <row r="206" spans="2:15" hidden="1" x14ac:dyDescent="0.2">
      <c r="C206" s="34"/>
      <c r="D206" s="308" t="s">
        <v>57</v>
      </c>
      <c r="E206" s="310"/>
      <c r="F206" s="212">
        <f>SUM(F201:F205)</f>
        <v>0</v>
      </c>
    </row>
    <row r="207" spans="2:15" hidden="1" x14ac:dyDescent="0.2">
      <c r="C207" s="34"/>
      <c r="D207" s="34"/>
      <c r="E207" s="34"/>
      <c r="F207" s="34"/>
    </row>
    <row r="208" spans="2:15" hidden="1" x14ac:dyDescent="0.2">
      <c r="B208" s="308" t="s">
        <v>90</v>
      </c>
      <c r="C208" s="309"/>
      <c r="D208" s="309"/>
      <c r="E208" s="309"/>
      <c r="F208" s="309"/>
      <c r="G208" s="81" t="str">
        <f>IF(Informe!$AB$46="","",Informe!$AB$46)</f>
        <v/>
      </c>
      <c r="H208" s="309" t="str">
        <f>IF(Informe!$AB$47="","",(Informe!$AB$47))</f>
        <v/>
      </c>
      <c r="I208" s="309"/>
      <c r="J208" s="309"/>
      <c r="K208" s="309"/>
      <c r="L208" s="309"/>
      <c r="M208" s="309"/>
      <c r="N208" s="8"/>
    </row>
    <row r="209" spans="2:15" hidden="1" x14ac:dyDescent="0.2">
      <c r="B209" s="395" t="s">
        <v>5</v>
      </c>
      <c r="C209" s="395" t="s">
        <v>0</v>
      </c>
      <c r="D209" s="396" t="s">
        <v>44</v>
      </c>
      <c r="E209" s="396"/>
      <c r="F209" s="397" t="s">
        <v>6</v>
      </c>
      <c r="G209" s="311" t="s">
        <v>19</v>
      </c>
      <c r="H209" s="399" t="s">
        <v>19</v>
      </c>
      <c r="I209" s="399"/>
      <c r="J209" s="399"/>
      <c r="K209" s="399"/>
      <c r="L209" s="399"/>
      <c r="M209" s="312"/>
      <c r="N209" s="397" t="s">
        <v>45</v>
      </c>
      <c r="O209" s="397" t="s">
        <v>130</v>
      </c>
    </row>
    <row r="210" spans="2:15" hidden="1" x14ac:dyDescent="0.2">
      <c r="B210" s="395"/>
      <c r="C210" s="395"/>
      <c r="D210" s="80" t="s">
        <v>2</v>
      </c>
      <c r="E210" s="80" t="s">
        <v>3</v>
      </c>
      <c r="F210" s="398"/>
      <c r="G210" s="400"/>
      <c r="H210" s="401"/>
      <c r="I210" s="401"/>
      <c r="J210" s="401"/>
      <c r="K210" s="401"/>
      <c r="L210" s="401"/>
      <c r="M210" s="402"/>
      <c r="N210" s="403"/>
      <c r="O210" s="403"/>
    </row>
    <row r="211" spans="2:15" hidden="1" x14ac:dyDescent="0.2">
      <c r="B211" s="83"/>
      <c r="C211" s="201"/>
      <c r="D211" s="202"/>
      <c r="E211" s="203"/>
      <c r="F211" s="213">
        <f>E211-D211</f>
        <v>0</v>
      </c>
      <c r="G211" s="84"/>
      <c r="H211" s="85"/>
      <c r="I211" s="85"/>
      <c r="J211" s="85"/>
      <c r="K211" s="85"/>
      <c r="L211" s="85"/>
      <c r="M211" s="94"/>
      <c r="N211" s="44"/>
      <c r="O211" s="44"/>
    </row>
    <row r="212" spans="2:15" hidden="1" x14ac:dyDescent="0.2">
      <c r="B212" s="86"/>
      <c r="C212" s="205"/>
      <c r="D212" s="206"/>
      <c r="E212" s="207"/>
      <c r="F212" s="204">
        <f>E212-D212</f>
        <v>0</v>
      </c>
      <c r="G212" s="87"/>
      <c r="H212" s="88"/>
      <c r="I212" s="88"/>
      <c r="J212" s="88"/>
      <c r="K212" s="88"/>
      <c r="L212" s="88"/>
      <c r="M212" s="95"/>
      <c r="N212" s="89"/>
      <c r="O212" s="89"/>
    </row>
    <row r="213" spans="2:15" hidden="1" x14ac:dyDescent="0.2">
      <c r="B213" s="86"/>
      <c r="C213" s="205"/>
      <c r="D213" s="206"/>
      <c r="E213" s="207"/>
      <c r="F213" s="204">
        <f>E213-D213</f>
        <v>0</v>
      </c>
      <c r="G213" s="87"/>
      <c r="H213" s="88"/>
      <c r="I213" s="88"/>
      <c r="J213" s="88"/>
      <c r="K213" s="88"/>
      <c r="L213" s="88"/>
      <c r="M213" s="95"/>
      <c r="N213" s="89"/>
      <c r="O213" s="89"/>
    </row>
    <row r="214" spans="2:15" hidden="1" x14ac:dyDescent="0.2">
      <c r="B214" s="86"/>
      <c r="C214" s="205"/>
      <c r="D214" s="206"/>
      <c r="E214" s="207"/>
      <c r="F214" s="204">
        <f>E214-D214</f>
        <v>0</v>
      </c>
      <c r="G214" s="87"/>
      <c r="H214" s="88"/>
      <c r="I214" s="88"/>
      <c r="J214" s="88"/>
      <c r="K214" s="88"/>
      <c r="L214" s="88"/>
      <c r="M214" s="95"/>
      <c r="N214" s="89"/>
      <c r="O214" s="89"/>
    </row>
    <row r="215" spans="2:15" hidden="1" x14ac:dyDescent="0.2">
      <c r="B215" s="90"/>
      <c r="C215" s="208"/>
      <c r="D215" s="209"/>
      <c r="E215" s="210"/>
      <c r="F215" s="211">
        <f>E215-D215</f>
        <v>0</v>
      </c>
      <c r="G215" s="91"/>
      <c r="H215" s="92"/>
      <c r="I215" s="92"/>
      <c r="J215" s="92"/>
      <c r="K215" s="92"/>
      <c r="L215" s="92"/>
      <c r="M215" s="96"/>
      <c r="N215" s="93"/>
      <c r="O215" s="93"/>
    </row>
    <row r="216" spans="2:15" hidden="1" x14ac:dyDescent="0.2">
      <c r="C216" s="34"/>
      <c r="D216" s="308" t="s">
        <v>57</v>
      </c>
      <c r="E216" s="310"/>
      <c r="F216" s="212">
        <f>SUM(F211:F215)</f>
        <v>0</v>
      </c>
    </row>
    <row r="217" spans="2:15" hidden="1" x14ac:dyDescent="0.2">
      <c r="C217" s="34"/>
      <c r="D217" s="34"/>
      <c r="E217" s="34"/>
      <c r="F217" s="34"/>
    </row>
    <row r="218" spans="2:15" hidden="1" x14ac:dyDescent="0.2">
      <c r="B218" s="308" t="s">
        <v>90</v>
      </c>
      <c r="C218" s="309"/>
      <c r="D218" s="309"/>
      <c r="E218" s="309"/>
      <c r="F218" s="309"/>
      <c r="G218" s="81" t="str">
        <f>IF(Informe!$AD$46="","",Informe!$AD$46)</f>
        <v/>
      </c>
      <c r="H218" s="309" t="str">
        <f>IF(Informe!$AD$47="","",(Informe!$AD$47))</f>
        <v/>
      </c>
      <c r="I218" s="309"/>
      <c r="J218" s="309"/>
      <c r="K218" s="309"/>
      <c r="L218" s="309"/>
      <c r="M218" s="309"/>
      <c r="N218" s="8"/>
    </row>
    <row r="219" spans="2:15" hidden="1" x14ac:dyDescent="0.2">
      <c r="B219" s="395" t="s">
        <v>5</v>
      </c>
      <c r="C219" s="395" t="s">
        <v>0</v>
      </c>
      <c r="D219" s="396" t="s">
        <v>44</v>
      </c>
      <c r="E219" s="396"/>
      <c r="F219" s="397" t="s">
        <v>6</v>
      </c>
      <c r="G219" s="311" t="s">
        <v>19</v>
      </c>
      <c r="H219" s="399" t="s">
        <v>19</v>
      </c>
      <c r="I219" s="399"/>
      <c r="J219" s="399"/>
      <c r="K219" s="399"/>
      <c r="L219" s="399"/>
      <c r="M219" s="312"/>
      <c r="N219" s="397" t="s">
        <v>45</v>
      </c>
      <c r="O219" s="397" t="s">
        <v>130</v>
      </c>
    </row>
    <row r="220" spans="2:15" hidden="1" x14ac:dyDescent="0.2">
      <c r="B220" s="395"/>
      <c r="C220" s="395"/>
      <c r="D220" s="80" t="s">
        <v>2</v>
      </c>
      <c r="E220" s="80" t="s">
        <v>3</v>
      </c>
      <c r="F220" s="398"/>
      <c r="G220" s="400"/>
      <c r="H220" s="401"/>
      <c r="I220" s="401"/>
      <c r="J220" s="401"/>
      <c r="K220" s="401"/>
      <c r="L220" s="401"/>
      <c r="M220" s="402"/>
      <c r="N220" s="403"/>
      <c r="O220" s="403"/>
    </row>
    <row r="221" spans="2:15" hidden="1" x14ac:dyDescent="0.2">
      <c r="B221" s="83"/>
      <c r="C221" s="201"/>
      <c r="D221" s="202"/>
      <c r="E221" s="203"/>
      <c r="F221" s="213">
        <f>E221-D221</f>
        <v>0</v>
      </c>
      <c r="G221" s="84"/>
      <c r="H221" s="85"/>
      <c r="I221" s="85"/>
      <c r="J221" s="85"/>
      <c r="K221" s="85"/>
      <c r="L221" s="85"/>
      <c r="M221" s="94"/>
      <c r="N221" s="44"/>
      <c r="O221" s="44"/>
    </row>
    <row r="222" spans="2:15" hidden="1" x14ac:dyDescent="0.2">
      <c r="B222" s="86"/>
      <c r="C222" s="205"/>
      <c r="D222" s="206"/>
      <c r="E222" s="207"/>
      <c r="F222" s="204">
        <f>E222-D222</f>
        <v>0</v>
      </c>
      <c r="G222" s="87"/>
      <c r="H222" s="88"/>
      <c r="I222" s="88"/>
      <c r="J222" s="88"/>
      <c r="K222" s="88"/>
      <c r="L222" s="88"/>
      <c r="M222" s="95"/>
      <c r="N222" s="89"/>
      <c r="O222" s="89"/>
    </row>
    <row r="223" spans="2:15" hidden="1" x14ac:dyDescent="0.2">
      <c r="B223" s="86"/>
      <c r="C223" s="205"/>
      <c r="D223" s="206"/>
      <c r="E223" s="207"/>
      <c r="F223" s="204">
        <f>E223-D223</f>
        <v>0</v>
      </c>
      <c r="G223" s="87"/>
      <c r="H223" s="88"/>
      <c r="I223" s="88"/>
      <c r="J223" s="88"/>
      <c r="K223" s="88"/>
      <c r="L223" s="88"/>
      <c r="M223" s="95"/>
      <c r="N223" s="89"/>
      <c r="O223" s="89"/>
    </row>
    <row r="224" spans="2:15" hidden="1" x14ac:dyDescent="0.2">
      <c r="B224" s="86"/>
      <c r="C224" s="205"/>
      <c r="D224" s="206"/>
      <c r="E224" s="207"/>
      <c r="F224" s="204">
        <f>E224-D224</f>
        <v>0</v>
      </c>
      <c r="G224" s="87"/>
      <c r="H224" s="88"/>
      <c r="I224" s="88"/>
      <c r="J224" s="88"/>
      <c r="K224" s="88"/>
      <c r="L224" s="88"/>
      <c r="M224" s="95"/>
      <c r="N224" s="89"/>
      <c r="O224" s="89"/>
    </row>
    <row r="225" spans="2:15" hidden="1" x14ac:dyDescent="0.2">
      <c r="B225" s="90"/>
      <c r="C225" s="208"/>
      <c r="D225" s="209"/>
      <c r="E225" s="210"/>
      <c r="F225" s="211">
        <f>E225-D225</f>
        <v>0</v>
      </c>
      <c r="G225" s="91"/>
      <c r="H225" s="92"/>
      <c r="I225" s="92"/>
      <c r="J225" s="92"/>
      <c r="K225" s="92"/>
      <c r="L225" s="92"/>
      <c r="M225" s="96"/>
      <c r="N225" s="93"/>
      <c r="O225" s="93"/>
    </row>
    <row r="226" spans="2:15" hidden="1" x14ac:dyDescent="0.2">
      <c r="C226" s="34"/>
      <c r="D226" s="308" t="s">
        <v>57</v>
      </c>
      <c r="E226" s="310"/>
      <c r="F226" s="212">
        <f>SUM(F221:F225)</f>
        <v>0</v>
      </c>
    </row>
    <row r="227" spans="2:15" hidden="1" x14ac:dyDescent="0.2"/>
    <row r="228" spans="2:15" hidden="1" x14ac:dyDescent="0.2"/>
    <row r="229" spans="2:15" hidden="1" x14ac:dyDescent="0.2"/>
    <row r="230" spans="2:15" hidden="1" x14ac:dyDescent="0.2"/>
    <row r="231" spans="2:15" hidden="1" x14ac:dyDescent="0.2"/>
    <row r="232" spans="2:15" hidden="1" x14ac:dyDescent="0.2"/>
    <row r="233" spans="2:15" hidden="1" x14ac:dyDescent="0.2"/>
    <row r="234" spans="2:15" hidden="1" x14ac:dyDescent="0.2"/>
    <row r="235" spans="2:15" hidden="1" x14ac:dyDescent="0.2"/>
    <row r="236" spans="2:15" hidden="1" x14ac:dyDescent="0.2"/>
    <row r="237" spans="2:15" hidden="1" x14ac:dyDescent="0.2"/>
    <row r="238" spans="2:15" hidden="1" x14ac:dyDescent="0.2"/>
  </sheetData>
  <sheetProtection formatCells="0" insertRows="0" deleteRows="0" selectLockedCells="1"/>
  <mergeCells count="147">
    <mergeCell ref="N38:N39"/>
    <mergeCell ref="G70:M71"/>
    <mergeCell ref="O199:O200"/>
    <mergeCell ref="O209:O210"/>
    <mergeCell ref="G163:M164"/>
    <mergeCell ref="H162:M162"/>
    <mergeCell ref="O219:O220"/>
    <mergeCell ref="B14:O14"/>
    <mergeCell ref="B15:O15"/>
    <mergeCell ref="B37:O37"/>
    <mergeCell ref="O16:O17"/>
    <mergeCell ref="O38:O39"/>
    <mergeCell ref="O163:O164"/>
    <mergeCell ref="H135:M135"/>
    <mergeCell ref="B108:F108"/>
    <mergeCell ref="B135:F135"/>
    <mergeCell ref="O136:O137"/>
    <mergeCell ref="G136:M137"/>
    <mergeCell ref="C163:C164"/>
    <mergeCell ref="D163:E163"/>
    <mergeCell ref="F163:F164"/>
    <mergeCell ref="G109:M110"/>
    <mergeCell ref="G38:M39"/>
    <mergeCell ref="N87:N88"/>
    <mergeCell ref="O179:O180"/>
    <mergeCell ref="O189:O190"/>
    <mergeCell ref="B70:B71"/>
    <mergeCell ref="B87:B88"/>
    <mergeCell ref="C87:C88"/>
    <mergeCell ref="N163:N164"/>
    <mergeCell ref="B136:B137"/>
    <mergeCell ref="C136:C137"/>
    <mergeCell ref="N70:N71"/>
    <mergeCell ref="B163:B164"/>
    <mergeCell ref="D160:E160"/>
    <mergeCell ref="O109:O110"/>
    <mergeCell ref="O87:O88"/>
    <mergeCell ref="O70:O71"/>
    <mergeCell ref="C70:C71"/>
    <mergeCell ref="C109:C110"/>
    <mergeCell ref="D133:E133"/>
    <mergeCell ref="B109:B110"/>
    <mergeCell ref="D84:E84"/>
    <mergeCell ref="N189:N190"/>
    <mergeCell ref="H188:M188"/>
    <mergeCell ref="N179:N180"/>
    <mergeCell ref="H86:M86"/>
    <mergeCell ref="H108:M108"/>
    <mergeCell ref="K10:N10"/>
    <mergeCell ref="B10:D10"/>
    <mergeCell ref="B11:D11"/>
    <mergeCell ref="G12:J12"/>
    <mergeCell ref="G11:J11"/>
    <mergeCell ref="E12:F12"/>
    <mergeCell ref="K11:N11"/>
    <mergeCell ref="K12:N12"/>
    <mergeCell ref="E11:F11"/>
    <mergeCell ref="K6:N6"/>
    <mergeCell ref="G6:J6"/>
    <mergeCell ref="G7:J7"/>
    <mergeCell ref="G8:J8"/>
    <mergeCell ref="K7:N7"/>
    <mergeCell ref="B7:D7"/>
    <mergeCell ref="B8:D8"/>
    <mergeCell ref="N16:N17"/>
    <mergeCell ref="B5:N5"/>
    <mergeCell ref="E6:F6"/>
    <mergeCell ref="E7:F7"/>
    <mergeCell ref="E8:F8"/>
    <mergeCell ref="E9:F9"/>
    <mergeCell ref="E10:F10"/>
    <mergeCell ref="B6:D6"/>
    <mergeCell ref="G9:J9"/>
    <mergeCell ref="K8:N8"/>
    <mergeCell ref="B9:D9"/>
    <mergeCell ref="G10:J10"/>
    <mergeCell ref="B16:B17"/>
    <mergeCell ref="C16:C17"/>
    <mergeCell ref="G16:M17"/>
    <mergeCell ref="D16:E16"/>
    <mergeCell ref="K9:N9"/>
    <mergeCell ref="D67:E67"/>
    <mergeCell ref="B12:D12"/>
    <mergeCell ref="D35:E35"/>
    <mergeCell ref="F38:F39"/>
    <mergeCell ref="D70:E70"/>
    <mergeCell ref="B38:B39"/>
    <mergeCell ref="D38:E38"/>
    <mergeCell ref="F16:F17"/>
    <mergeCell ref="C38:C39"/>
    <mergeCell ref="F70:F71"/>
    <mergeCell ref="G87:M88"/>
    <mergeCell ref="D106:E106"/>
    <mergeCell ref="B162:F162"/>
    <mergeCell ref="B86:F86"/>
    <mergeCell ref="F136:F137"/>
    <mergeCell ref="D196:E196"/>
    <mergeCell ref="F189:F190"/>
    <mergeCell ref="B179:B180"/>
    <mergeCell ref="C179:C180"/>
    <mergeCell ref="D179:E179"/>
    <mergeCell ref="F179:F180"/>
    <mergeCell ref="B188:F188"/>
    <mergeCell ref="F87:F88"/>
    <mergeCell ref="D109:E109"/>
    <mergeCell ref="F109:F110"/>
    <mergeCell ref="D176:E176"/>
    <mergeCell ref="B178:F178"/>
    <mergeCell ref="D136:E136"/>
    <mergeCell ref="D87:E87"/>
    <mergeCell ref="B189:B190"/>
    <mergeCell ref="C189:C190"/>
    <mergeCell ref="D189:E189"/>
    <mergeCell ref="N219:N220"/>
    <mergeCell ref="G199:M200"/>
    <mergeCell ref="B209:B210"/>
    <mergeCell ref="N199:N200"/>
    <mergeCell ref="N209:N210"/>
    <mergeCell ref="N109:N110"/>
    <mergeCell ref="H178:M178"/>
    <mergeCell ref="D186:E186"/>
    <mergeCell ref="G179:M180"/>
    <mergeCell ref="N136:N137"/>
    <mergeCell ref="H69:M69"/>
    <mergeCell ref="D226:E226"/>
    <mergeCell ref="H218:M218"/>
    <mergeCell ref="B219:B220"/>
    <mergeCell ref="C219:C220"/>
    <mergeCell ref="D219:E219"/>
    <mergeCell ref="F219:F220"/>
    <mergeCell ref="G219:M220"/>
    <mergeCell ref="B199:B200"/>
    <mergeCell ref="C199:C200"/>
    <mergeCell ref="D199:E199"/>
    <mergeCell ref="F199:F200"/>
    <mergeCell ref="G209:M210"/>
    <mergeCell ref="B218:F218"/>
    <mergeCell ref="D216:E216"/>
    <mergeCell ref="D206:E206"/>
    <mergeCell ref="D209:E209"/>
    <mergeCell ref="F209:F210"/>
    <mergeCell ref="B208:F208"/>
    <mergeCell ref="H208:M208"/>
    <mergeCell ref="C209:C210"/>
    <mergeCell ref="B198:F198"/>
    <mergeCell ref="H198:M198"/>
    <mergeCell ref="G189:M190"/>
  </mergeCells>
  <phoneticPr fontId="1" type="noConversion"/>
  <conditionalFormatting sqref="G7:J12">
    <cfRule type="expression" dxfId="1" priority="1" stopIfTrue="1">
      <formula>E7="NO CONFORME"</formula>
    </cfRule>
  </conditionalFormatting>
  <conditionalFormatting sqref="K7:N12">
    <cfRule type="expression" dxfId="0" priority="2" stopIfTrue="1">
      <formula>E7="NO CONFORME"</formula>
    </cfRule>
  </conditionalFormatting>
  <dataValidations count="3">
    <dataValidation type="list" allowBlank="1" showInputMessage="1" showErrorMessage="1" sqref="E7:F12">
      <formula1>$IU$6:$IU$7</formula1>
    </dataValidation>
    <dataValidation type="list" allowBlank="1" showInputMessage="1" showErrorMessage="1" sqref="N40:N66 N181:N185 N191:N195 N201:N205 N211:N215 N221:N225 N18:N34 N111:N132 N165:N175 N138:N159 N89:N105 N72:N83">
      <formula1>$IT$6:$IT$15</formula1>
    </dataValidation>
    <dataValidation type="list" allowBlank="1" showInputMessage="1" showErrorMessage="1" sqref="O138:O159 O181:O185 O191:O195 O201:O205 O211:O215 O221:O225 O89:O105 O111:O132 O165:O175 O72:O83 O40:O66 O18:O34">
      <formula1>$IS$6:$IS$9</formula1>
    </dataValidation>
  </dataValidations>
  <pageMargins left="0.75" right="0.75" top="1" bottom="1" header="0" footer="0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workbookViewId="0">
      <selection activeCell="H27" sqref="H27"/>
    </sheetView>
  </sheetViews>
  <sheetFormatPr baseColWidth="10" defaultColWidth="14.28515625" defaultRowHeight="12.75" x14ac:dyDescent="0.2"/>
  <cols>
    <col min="2" max="2" width="19.85546875" customWidth="1"/>
  </cols>
  <sheetData>
    <row r="1" spans="1:7" x14ac:dyDescent="0.2">
      <c r="A1" s="10"/>
      <c r="B1" s="11"/>
      <c r="C1" s="11"/>
      <c r="D1" s="11"/>
      <c r="E1" s="11"/>
      <c r="F1" s="11"/>
    </row>
    <row r="2" spans="1:7" x14ac:dyDescent="0.2">
      <c r="A2" s="12" t="s">
        <v>22</v>
      </c>
      <c r="B2" s="11"/>
      <c r="C2" s="11"/>
      <c r="D2" s="11"/>
      <c r="E2" s="11"/>
      <c r="F2" s="13" t="s">
        <v>420</v>
      </c>
    </row>
    <row r="3" spans="1:7" x14ac:dyDescent="0.2">
      <c r="A3" s="12"/>
      <c r="B3" s="14"/>
      <c r="C3" s="11"/>
      <c r="D3" s="15"/>
      <c r="E3" s="11"/>
      <c r="F3" s="13"/>
    </row>
    <row r="4" spans="1:7" x14ac:dyDescent="0.2">
      <c r="A4" s="12"/>
      <c r="B4" s="12" t="s">
        <v>141</v>
      </c>
      <c r="C4" s="14"/>
      <c r="D4" s="16" t="s">
        <v>353</v>
      </c>
      <c r="E4" s="214"/>
      <c r="F4" s="13"/>
    </row>
    <row r="5" spans="1:7" x14ac:dyDescent="0.2">
      <c r="A5" s="12"/>
      <c r="B5" s="12" t="s">
        <v>142</v>
      </c>
      <c r="C5" s="12"/>
      <c r="D5" s="15"/>
      <c r="E5" s="11"/>
      <c r="F5" s="13"/>
    </row>
    <row r="6" spans="1:7" x14ac:dyDescent="0.2">
      <c r="A6" s="12"/>
      <c r="B6" s="12" t="s">
        <v>143</v>
      </c>
      <c r="C6" s="12"/>
      <c r="D6" s="15" t="s">
        <v>144</v>
      </c>
      <c r="E6" s="418"/>
      <c r="F6" s="418"/>
    </row>
    <row r="7" spans="1:7" x14ac:dyDescent="0.2">
      <c r="A7" s="419" t="s">
        <v>145</v>
      </c>
      <c r="B7" s="419"/>
      <c r="C7" s="419"/>
      <c r="D7" s="419"/>
      <c r="E7" s="419"/>
      <c r="F7" s="419"/>
    </row>
    <row r="8" spans="1:7" x14ac:dyDescent="0.2">
      <c r="A8" s="17"/>
      <c r="B8" s="17"/>
      <c r="C8" s="17"/>
      <c r="D8" s="17"/>
      <c r="E8" s="17"/>
      <c r="F8" s="17"/>
    </row>
    <row r="9" spans="1:7" x14ac:dyDescent="0.2">
      <c r="A9" s="18" t="s">
        <v>146</v>
      </c>
      <c r="B9" s="18" t="s">
        <v>147</v>
      </c>
      <c r="C9" s="18" t="s">
        <v>148</v>
      </c>
      <c r="D9" s="18" t="s">
        <v>91</v>
      </c>
      <c r="E9" s="18" t="s">
        <v>149</v>
      </c>
      <c r="F9" s="18" t="s">
        <v>150</v>
      </c>
      <c r="G9" s="19"/>
    </row>
    <row r="10" spans="1:7" ht="22.5" x14ac:dyDescent="0.2">
      <c r="A10" s="20">
        <v>1</v>
      </c>
      <c r="B10" s="21" t="s">
        <v>151</v>
      </c>
      <c r="C10" s="22"/>
      <c r="D10" s="22"/>
      <c r="E10" s="22"/>
      <c r="F10" s="23"/>
    </row>
    <row r="11" spans="1:7" x14ac:dyDescent="0.2">
      <c r="A11" s="20">
        <v>2</v>
      </c>
      <c r="B11" s="24" t="s">
        <v>152</v>
      </c>
      <c r="C11" s="22"/>
      <c r="D11" s="22"/>
      <c r="E11" s="22"/>
      <c r="F11" s="23"/>
    </row>
    <row r="12" spans="1:7" ht="22.5" x14ac:dyDescent="0.2">
      <c r="A12" s="20">
        <v>3</v>
      </c>
      <c r="B12" s="24" t="s">
        <v>153</v>
      </c>
      <c r="C12" s="22"/>
      <c r="D12" s="22"/>
      <c r="E12" s="22"/>
      <c r="F12" s="23"/>
    </row>
    <row r="13" spans="1:7" ht="22.5" x14ac:dyDescent="0.2">
      <c r="A13" s="20">
        <v>4</v>
      </c>
      <c r="B13" s="24" t="s">
        <v>154</v>
      </c>
      <c r="C13" s="22"/>
      <c r="D13" s="22"/>
      <c r="E13" s="22"/>
      <c r="F13" s="22"/>
    </row>
    <row r="14" spans="1:7" ht="22.5" x14ac:dyDescent="0.2">
      <c r="A14" s="20">
        <v>5</v>
      </c>
      <c r="B14" s="24" t="s">
        <v>155</v>
      </c>
      <c r="C14" s="22"/>
      <c r="D14" s="22"/>
      <c r="E14" s="22"/>
      <c r="F14" s="23"/>
    </row>
    <row r="15" spans="1:7" ht="22.5" x14ac:dyDescent="0.2">
      <c r="A15" s="20">
        <v>6</v>
      </c>
      <c r="B15" s="24" t="s">
        <v>156</v>
      </c>
      <c r="C15" s="25"/>
      <c r="D15" s="22"/>
      <c r="E15" s="22"/>
      <c r="F15" s="23"/>
    </row>
    <row r="16" spans="1:7" ht="22.5" x14ac:dyDescent="0.2">
      <c r="A16" s="20">
        <v>7</v>
      </c>
      <c r="B16" s="24" t="s">
        <v>157</v>
      </c>
      <c r="C16" s="25"/>
      <c r="D16" s="22"/>
      <c r="E16" s="22"/>
      <c r="F16" s="23"/>
    </row>
    <row r="17" spans="1:6" x14ac:dyDescent="0.2">
      <c r="A17" s="20">
        <v>8</v>
      </c>
      <c r="B17" s="24" t="s">
        <v>158</v>
      </c>
      <c r="C17" s="22"/>
      <c r="D17" s="22"/>
      <c r="E17" s="22"/>
      <c r="F17" s="23"/>
    </row>
    <row r="18" spans="1:6" x14ac:dyDescent="0.2">
      <c r="A18" s="20">
        <v>9</v>
      </c>
      <c r="B18" s="24" t="s">
        <v>159</v>
      </c>
      <c r="C18" s="22"/>
      <c r="D18" s="22"/>
      <c r="E18" s="22"/>
      <c r="F18" s="23"/>
    </row>
    <row r="19" spans="1:6" x14ac:dyDescent="0.2">
      <c r="A19" s="20">
        <v>10</v>
      </c>
      <c r="B19" s="24" t="s">
        <v>160</v>
      </c>
      <c r="C19" s="22"/>
      <c r="D19" s="22"/>
      <c r="E19" s="22"/>
      <c r="F19" s="23"/>
    </row>
    <row r="20" spans="1:6" x14ac:dyDescent="0.2">
      <c r="A20" s="20">
        <v>11</v>
      </c>
      <c r="B20" s="24" t="s">
        <v>161</v>
      </c>
      <c r="C20" s="22"/>
      <c r="D20" s="22"/>
      <c r="E20" s="22"/>
      <c r="F20" s="23"/>
    </row>
    <row r="21" spans="1:6" ht="22.5" x14ac:dyDescent="0.2">
      <c r="A21" s="20">
        <v>12</v>
      </c>
      <c r="B21" s="24" t="s">
        <v>162</v>
      </c>
      <c r="C21" s="22"/>
      <c r="D21" s="22"/>
      <c r="E21" s="22"/>
      <c r="F21" s="23"/>
    </row>
    <row r="22" spans="1:6" ht="48" customHeight="1" x14ac:dyDescent="0.2">
      <c r="A22" s="20">
        <v>13</v>
      </c>
      <c r="B22" s="24" t="s">
        <v>163</v>
      </c>
      <c r="C22" s="22"/>
      <c r="D22" s="22"/>
      <c r="E22" s="22"/>
      <c r="F22" s="26"/>
    </row>
    <row r="23" spans="1:6" x14ac:dyDescent="0.2">
      <c r="A23" s="20">
        <v>14</v>
      </c>
      <c r="B23" s="24" t="s">
        <v>282</v>
      </c>
      <c r="C23" s="22"/>
      <c r="D23" s="22"/>
      <c r="E23" s="22"/>
      <c r="F23" s="23"/>
    </row>
    <row r="24" spans="1:6" x14ac:dyDescent="0.2">
      <c r="A24" s="20">
        <v>15</v>
      </c>
      <c r="B24" s="24" t="s">
        <v>423</v>
      </c>
      <c r="C24" s="22"/>
      <c r="D24" s="22"/>
      <c r="E24" s="22"/>
      <c r="F24" s="23"/>
    </row>
    <row r="25" spans="1:6" ht="22.5" x14ac:dyDescent="0.2">
      <c r="A25" s="20">
        <v>16</v>
      </c>
      <c r="B25" s="24" t="s">
        <v>424</v>
      </c>
      <c r="C25" s="22"/>
      <c r="D25" s="22"/>
      <c r="E25" s="22"/>
      <c r="F25" s="23"/>
    </row>
    <row r="26" spans="1:6" ht="22.5" x14ac:dyDescent="0.2">
      <c r="A26" s="20">
        <v>17</v>
      </c>
      <c r="B26" s="24" t="s">
        <v>419</v>
      </c>
      <c r="C26" s="22"/>
      <c r="D26" s="22"/>
      <c r="E26" s="22"/>
      <c r="F26" s="23"/>
    </row>
    <row r="27" spans="1:6" ht="67.5" x14ac:dyDescent="0.2">
      <c r="A27" s="20">
        <v>18</v>
      </c>
      <c r="B27" s="24" t="s">
        <v>283</v>
      </c>
      <c r="C27" s="22"/>
      <c r="D27" s="22"/>
      <c r="E27" s="22"/>
      <c r="F27" s="23"/>
    </row>
    <row r="28" spans="1:6" ht="33.75" x14ac:dyDescent="0.2">
      <c r="A28" s="20">
        <v>19</v>
      </c>
      <c r="B28" s="24" t="s">
        <v>284</v>
      </c>
      <c r="C28" s="22"/>
      <c r="D28" s="22"/>
      <c r="E28" s="22"/>
      <c r="F28" s="26"/>
    </row>
    <row r="29" spans="1:6" ht="22.5" x14ac:dyDescent="0.2">
      <c r="A29" s="20">
        <v>20</v>
      </c>
      <c r="B29" s="24" t="s">
        <v>425</v>
      </c>
      <c r="C29" s="22"/>
      <c r="D29" s="22"/>
      <c r="E29" s="22"/>
      <c r="F29" s="26"/>
    </row>
    <row r="30" spans="1:6" ht="22.5" x14ac:dyDescent="0.2">
      <c r="A30" s="20">
        <v>21</v>
      </c>
      <c r="B30" s="24" t="s">
        <v>426</v>
      </c>
      <c r="C30" s="22"/>
      <c r="D30" s="22"/>
      <c r="E30" s="22"/>
      <c r="F30" s="26"/>
    </row>
    <row r="31" spans="1:6" x14ac:dyDescent="0.2">
      <c r="A31" s="20">
        <v>22</v>
      </c>
      <c r="B31" s="24" t="s">
        <v>428</v>
      </c>
      <c r="C31" s="22"/>
      <c r="D31" s="22"/>
      <c r="E31" s="22"/>
      <c r="F31" s="26"/>
    </row>
    <row r="32" spans="1:6" x14ac:dyDescent="0.2">
      <c r="A32" s="17"/>
      <c r="B32" s="420"/>
      <c r="C32" s="420"/>
      <c r="D32" s="420"/>
      <c r="E32" s="420"/>
      <c r="F32" s="420"/>
    </row>
    <row r="33" spans="1:6" x14ac:dyDescent="0.2">
      <c r="A33" s="17" t="s">
        <v>164</v>
      </c>
      <c r="B33" s="422" t="s">
        <v>427</v>
      </c>
      <c r="C33" s="422"/>
      <c r="D33" s="422"/>
      <c r="E33" s="422"/>
      <c r="F33" s="422"/>
    </row>
    <row r="34" spans="1:6" x14ac:dyDescent="0.2">
      <c r="A34" s="17"/>
      <c r="B34" s="422"/>
      <c r="C34" s="422"/>
      <c r="D34" s="422"/>
      <c r="E34" s="422"/>
      <c r="F34" s="422"/>
    </row>
    <row r="35" spans="1:6" x14ac:dyDescent="0.2">
      <c r="A35" s="17"/>
      <c r="B35" s="422"/>
      <c r="C35" s="422"/>
      <c r="D35" s="422"/>
      <c r="E35" s="422"/>
      <c r="F35" s="422"/>
    </row>
    <row r="36" spans="1:6" x14ac:dyDescent="0.2">
      <c r="A36" s="17"/>
      <c r="B36" s="422"/>
      <c r="C36" s="422"/>
      <c r="D36" s="422"/>
      <c r="E36" s="422"/>
      <c r="F36" s="422"/>
    </row>
    <row r="37" spans="1:6" x14ac:dyDescent="0.2">
      <c r="A37" s="17"/>
      <c r="B37" s="422"/>
      <c r="C37" s="422"/>
      <c r="D37" s="422"/>
      <c r="E37" s="422"/>
      <c r="F37" s="422"/>
    </row>
    <row r="38" spans="1:6" x14ac:dyDescent="0.2">
      <c r="A38" s="17"/>
      <c r="B38" s="148"/>
      <c r="C38" s="148"/>
      <c r="D38" s="148"/>
      <c r="E38" s="148"/>
      <c r="F38" s="148"/>
    </row>
    <row r="39" spans="1:6" x14ac:dyDescent="0.2">
      <c r="A39" s="17"/>
      <c r="B39" s="148"/>
      <c r="C39" s="148"/>
      <c r="D39" s="148"/>
      <c r="E39" s="148"/>
      <c r="F39" s="148"/>
    </row>
    <row r="40" spans="1:6" x14ac:dyDescent="0.2">
      <c r="A40" s="17"/>
      <c r="B40" s="17"/>
      <c r="C40" s="27"/>
      <c r="D40" s="17"/>
      <c r="E40" s="17"/>
      <c r="F40" s="28"/>
    </row>
    <row r="41" spans="1:6" x14ac:dyDescent="0.2">
      <c r="A41" s="147"/>
      <c r="B41" s="147"/>
      <c r="C41" s="27"/>
      <c r="D41" s="17"/>
      <c r="E41" s="147"/>
      <c r="F41" s="147"/>
    </row>
    <row r="42" spans="1:6" x14ac:dyDescent="0.2">
      <c r="A42" s="421" t="s">
        <v>285</v>
      </c>
      <c r="B42" s="421"/>
      <c r="C42" s="27"/>
      <c r="D42" s="17"/>
      <c r="E42" s="421" t="s">
        <v>286</v>
      </c>
      <c r="F42" s="421"/>
    </row>
    <row r="43" spans="1:6" x14ac:dyDescent="0.2">
      <c r="C43" s="19"/>
    </row>
  </sheetData>
  <mergeCells count="6">
    <mergeCell ref="E6:F6"/>
    <mergeCell ref="A7:F7"/>
    <mergeCell ref="B32:F32"/>
    <mergeCell ref="A42:B42"/>
    <mergeCell ref="E42:F42"/>
    <mergeCell ref="B33:F37"/>
  </mergeCells>
  <pageMargins left="0.7" right="0.7" top="0.75" bottom="0.75" header="0.3" footer="0.3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Informe</vt:lpstr>
      <vt:lpstr>Hoja1</vt:lpstr>
      <vt:lpstr>Serv. no Conf. - Horas Muertas</vt:lpstr>
      <vt:lpstr>CHECKLIST LIQU PELIGROSOS</vt:lpstr>
      <vt:lpstr>'CHECKLIST LIQU PELIGROSOS'!Área_de_impresión</vt:lpstr>
    </vt:vector>
  </TitlesOfParts>
  <Company>Terminal Interancional del Sur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Marroquin Llerena</dc:creator>
  <cp:lastModifiedBy>Usuario</cp:lastModifiedBy>
  <cp:lastPrinted>2020-11-20T05:44:29Z</cp:lastPrinted>
  <dcterms:created xsi:type="dcterms:W3CDTF">2002-04-12T19:56:22Z</dcterms:created>
  <dcterms:modified xsi:type="dcterms:W3CDTF">2025-11-08T02:15:03Z</dcterms:modified>
</cp:coreProperties>
</file>